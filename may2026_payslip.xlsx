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xcel dashboard\Payslip\"/>
    </mc:Choice>
  </mc:AlternateContent>
  <xr:revisionPtr revIDLastSave="0" documentId="13_ncr:1_{5AF66A97-5596-4A68-A976-A44E81B5045B}" xr6:coauthVersionLast="47" xr6:coauthVersionMax="47" xr10:uidLastSave="{00000000-0000-0000-0000-000000000000}"/>
  <workbookProtection lockStructure="1"/>
  <bookViews>
    <workbookView xWindow="-120" yWindow="-120" windowWidth="20730" windowHeight="11160" activeTab="2" xr2:uid="{8DBDE263-8680-4BC2-B5C4-7D76D6AE4AB5}"/>
  </bookViews>
  <sheets>
    <sheet name="Attendance_May2026" sheetId="5" r:id="rId1"/>
    <sheet name="Salary_Sheet" sheetId="7" r:id="rId2"/>
    <sheet name="Salary_Slip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8" l="1"/>
  <c r="D15" i="8"/>
  <c r="D8" i="8"/>
  <c r="A4" i="8"/>
  <c r="D3" i="8"/>
  <c r="D16" i="8"/>
  <c r="P1" i="7"/>
  <c r="C1" i="5"/>
  <c r="A1" i="7" s="1"/>
  <c r="P19" i="7"/>
  <c r="K19" i="7"/>
  <c r="I19" i="7"/>
  <c r="P18" i="7"/>
  <c r="K18" i="7"/>
  <c r="I18" i="7"/>
  <c r="P17" i="7"/>
  <c r="K17" i="7"/>
  <c r="I17" i="7"/>
  <c r="P16" i="7"/>
  <c r="K16" i="7"/>
  <c r="I16" i="7"/>
  <c r="P15" i="7"/>
  <c r="K15" i="7"/>
  <c r="I15" i="7"/>
  <c r="P14" i="7"/>
  <c r="K14" i="7"/>
  <c r="I14" i="7"/>
  <c r="P13" i="7"/>
  <c r="K13" i="7"/>
  <c r="I13" i="7"/>
  <c r="P12" i="7"/>
  <c r="K12" i="7"/>
  <c r="I12" i="7"/>
  <c r="P11" i="7"/>
  <c r="K11" i="7"/>
  <c r="I11" i="7"/>
  <c r="P10" i="7"/>
  <c r="K10" i="7"/>
  <c r="I10" i="7"/>
  <c r="P9" i="7"/>
  <c r="K9" i="7"/>
  <c r="I9" i="7"/>
  <c r="P8" i="7"/>
  <c r="K8" i="7"/>
  <c r="I8" i="7"/>
  <c r="P7" i="7"/>
  <c r="K7" i="7"/>
  <c r="I7" i="7"/>
  <c r="P6" i="7"/>
  <c r="K6" i="7"/>
  <c r="I6" i="7"/>
  <c r="P5" i="7"/>
  <c r="K5" i="7"/>
  <c r="I5" i="7"/>
  <c r="B14" i="8" l="1"/>
  <c r="C10" i="8"/>
  <c r="D10" i="8" s="1"/>
  <c r="D13" i="8"/>
  <c r="B7" i="8"/>
  <c r="B16" i="8"/>
  <c r="B8" i="8"/>
  <c r="B15" i="8"/>
  <c r="AI8" i="5" l="1"/>
  <c r="F6" i="7" s="1"/>
  <c r="AJ8" i="5"/>
  <c r="AK8" i="5"/>
  <c r="AM8" i="5"/>
  <c r="AN8" i="5"/>
  <c r="AI9" i="5"/>
  <c r="F7" i="7" s="1"/>
  <c r="AJ9" i="5"/>
  <c r="AK9" i="5"/>
  <c r="AM9" i="5"/>
  <c r="AN9" i="5"/>
  <c r="AI10" i="5"/>
  <c r="F8" i="7" s="1"/>
  <c r="AJ10" i="5"/>
  <c r="AK10" i="5"/>
  <c r="AM10" i="5"/>
  <c r="AN10" i="5"/>
  <c r="AI11" i="5"/>
  <c r="F9" i="7" s="1"/>
  <c r="AJ11" i="5"/>
  <c r="AK11" i="5"/>
  <c r="AM11" i="5"/>
  <c r="AN11" i="5"/>
  <c r="AI12" i="5"/>
  <c r="F10" i="7" s="1"/>
  <c r="AJ12" i="5"/>
  <c r="AK12" i="5"/>
  <c r="AM12" i="5"/>
  <c r="AN12" i="5"/>
  <c r="AI13" i="5"/>
  <c r="F11" i="7" s="1"/>
  <c r="AJ13" i="5"/>
  <c r="AK13" i="5"/>
  <c r="AM13" i="5"/>
  <c r="AN13" i="5"/>
  <c r="AI14" i="5"/>
  <c r="F12" i="7" s="1"/>
  <c r="AJ14" i="5"/>
  <c r="AK14" i="5"/>
  <c r="AM14" i="5"/>
  <c r="AN14" i="5"/>
  <c r="AI15" i="5"/>
  <c r="F13" i="7" s="1"/>
  <c r="AJ15" i="5"/>
  <c r="AK15" i="5"/>
  <c r="AM15" i="5"/>
  <c r="AN15" i="5"/>
  <c r="AI16" i="5"/>
  <c r="F14" i="7" s="1"/>
  <c r="AJ16" i="5"/>
  <c r="AK16" i="5"/>
  <c r="AM16" i="5"/>
  <c r="AN16" i="5"/>
  <c r="AI17" i="5"/>
  <c r="F15" i="7" s="1"/>
  <c r="D7" i="8" s="1"/>
  <c r="AJ17" i="5"/>
  <c r="AK17" i="5"/>
  <c r="AM17" i="5"/>
  <c r="AN17" i="5"/>
  <c r="AI18" i="5"/>
  <c r="F16" i="7" s="1"/>
  <c r="AJ18" i="5"/>
  <c r="AK18" i="5"/>
  <c r="AM18" i="5"/>
  <c r="AN18" i="5"/>
  <c r="AI19" i="5"/>
  <c r="F17" i="7" s="1"/>
  <c r="AJ19" i="5"/>
  <c r="AK19" i="5"/>
  <c r="AM19" i="5"/>
  <c r="AN19" i="5"/>
  <c r="AI20" i="5"/>
  <c r="F18" i="7" s="1"/>
  <c r="AJ20" i="5"/>
  <c r="AK20" i="5"/>
  <c r="AM20" i="5"/>
  <c r="AN20" i="5"/>
  <c r="AI21" i="5"/>
  <c r="F19" i="7" s="1"/>
  <c r="AJ21" i="5"/>
  <c r="AK21" i="5"/>
  <c r="AM21" i="5"/>
  <c r="AN21" i="5"/>
  <c r="AN7" i="5"/>
  <c r="AM7" i="5"/>
  <c r="AK7" i="5"/>
  <c r="AJ7" i="5"/>
  <c r="AI7" i="5"/>
  <c r="F5" i="7" s="1"/>
  <c r="A3" i="5"/>
  <c r="C4" i="5" s="1"/>
  <c r="C5" i="5" l="1"/>
  <c r="B3" i="5"/>
  <c r="D4" i="5" s="1"/>
  <c r="D5" i="5" l="1"/>
  <c r="E4" i="5"/>
  <c r="E5" i="5" l="1"/>
  <c r="F4" i="5"/>
  <c r="G4" i="5" l="1"/>
  <c r="F5" i="5"/>
  <c r="H4" i="5" l="1"/>
  <c r="G5" i="5"/>
  <c r="I4" i="5" l="1"/>
  <c r="H5" i="5"/>
  <c r="J4" i="5" l="1"/>
  <c r="I5" i="5"/>
  <c r="K4" i="5" l="1"/>
  <c r="J5" i="5"/>
  <c r="L4" i="5" l="1"/>
  <c r="K5" i="5"/>
  <c r="L5" i="5" l="1"/>
  <c r="M4" i="5"/>
  <c r="M5" i="5" l="1"/>
  <c r="N4" i="5"/>
  <c r="O4" i="5" l="1"/>
  <c r="N5" i="5"/>
  <c r="P4" i="5" l="1"/>
  <c r="O5" i="5"/>
  <c r="Q4" i="5" l="1"/>
  <c r="P5" i="5"/>
  <c r="Q5" i="5" l="1"/>
  <c r="R4" i="5"/>
  <c r="R5" i="5" l="1"/>
  <c r="S4" i="5"/>
  <c r="T4" i="5" l="1"/>
  <c r="S5" i="5"/>
  <c r="U4" i="5" l="1"/>
  <c r="T5" i="5"/>
  <c r="U5" i="5" l="1"/>
  <c r="V4" i="5"/>
  <c r="W4" i="5" l="1"/>
  <c r="V5" i="5"/>
  <c r="X4" i="5" l="1"/>
  <c r="W5" i="5"/>
  <c r="Y4" i="5" l="1"/>
  <c r="X5" i="5"/>
  <c r="Y5" i="5" l="1"/>
  <c r="Z4" i="5"/>
  <c r="AA4" i="5" l="1"/>
  <c r="Z5" i="5"/>
  <c r="AB4" i="5" l="1"/>
  <c r="AA5" i="5"/>
  <c r="AB5" i="5" l="1"/>
  <c r="AC4" i="5"/>
  <c r="AC5" i="5" l="1"/>
  <c r="AD4" i="5"/>
  <c r="AE4" i="5" l="1"/>
  <c r="AD5" i="5"/>
  <c r="AF4" i="5" l="1"/>
  <c r="AE5" i="5"/>
  <c r="AG4" i="5" l="1"/>
  <c r="AF5" i="5"/>
  <c r="AG5" i="5" l="1"/>
  <c r="AH14" i="5"/>
  <c r="E12" i="7" s="1"/>
  <c r="G12" i="7" s="1"/>
  <c r="AH18" i="5"/>
  <c r="E16" i="7" s="1"/>
  <c r="G16" i="7" s="1"/>
  <c r="AH10" i="5"/>
  <c r="E8" i="7" s="1"/>
  <c r="G8" i="7" s="1"/>
  <c r="AH7" i="5"/>
  <c r="E5" i="7" s="1"/>
  <c r="G5" i="7" s="1"/>
  <c r="AH12" i="5"/>
  <c r="E10" i="7" s="1"/>
  <c r="G10" i="7" s="1"/>
  <c r="AH15" i="5"/>
  <c r="E13" i="7" s="1"/>
  <c r="G13" i="7" s="1"/>
  <c r="AH13" i="5"/>
  <c r="E11" i="7" s="1"/>
  <c r="G11" i="7" s="1"/>
  <c r="AH16" i="5"/>
  <c r="E14" i="7" s="1"/>
  <c r="G14" i="7" s="1"/>
  <c r="AH9" i="5"/>
  <c r="E7" i="7" s="1"/>
  <c r="G7" i="7" s="1"/>
  <c r="AH20" i="5"/>
  <c r="E18" i="7" s="1"/>
  <c r="G18" i="7" s="1"/>
  <c r="AH8" i="5"/>
  <c r="E6" i="7" s="1"/>
  <c r="G6" i="7" s="1"/>
  <c r="AH11" i="5"/>
  <c r="E9" i="7" s="1"/>
  <c r="G9" i="7" s="1"/>
  <c r="AH19" i="5"/>
  <c r="E17" i="7" s="1"/>
  <c r="G17" i="7" s="1"/>
  <c r="AH21" i="5"/>
  <c r="E19" i="7" s="1"/>
  <c r="G19" i="7" s="1"/>
  <c r="AH17" i="5"/>
  <c r="E15" i="7" s="1"/>
  <c r="N11" i="7" l="1"/>
  <c r="H11" i="7"/>
  <c r="O11" i="7" s="1"/>
  <c r="Q11" i="7" s="1"/>
  <c r="R11" i="7" s="1"/>
  <c r="N13" i="7"/>
  <c r="H13" i="7"/>
  <c r="O13" i="7" s="1"/>
  <c r="Q13" i="7" s="1"/>
  <c r="R13" i="7" s="1"/>
  <c r="H17" i="7"/>
  <c r="N17" i="7"/>
  <c r="H10" i="7"/>
  <c r="N10" i="7"/>
  <c r="N9" i="7"/>
  <c r="H9" i="7"/>
  <c r="O9" i="7" s="1"/>
  <c r="Q9" i="7" s="1"/>
  <c r="R9" i="7" s="1"/>
  <c r="N5" i="7"/>
  <c r="H5" i="7"/>
  <c r="O5" i="7" s="1"/>
  <c r="Q5" i="7" s="1"/>
  <c r="R5" i="7" s="1"/>
  <c r="G15" i="7"/>
  <c r="D6" i="8"/>
  <c r="H6" i="7"/>
  <c r="N6" i="7"/>
  <c r="H8" i="7"/>
  <c r="N8" i="7"/>
  <c r="H18" i="7"/>
  <c r="N18" i="7"/>
  <c r="O18" i="7" s="1"/>
  <c r="Q18" i="7" s="1"/>
  <c r="R18" i="7" s="1"/>
  <c r="N16" i="7"/>
  <c r="H16" i="7"/>
  <c r="O16" i="7" s="1"/>
  <c r="Q16" i="7" s="1"/>
  <c r="R16" i="7" s="1"/>
  <c r="N7" i="7"/>
  <c r="H7" i="7"/>
  <c r="O7" i="7" s="1"/>
  <c r="Q7" i="7" s="1"/>
  <c r="R7" i="7" s="1"/>
  <c r="H12" i="7"/>
  <c r="N12" i="7"/>
  <c r="O12" i="7" s="1"/>
  <c r="Q12" i="7" s="1"/>
  <c r="R12" i="7" s="1"/>
  <c r="N19" i="7"/>
  <c r="H19" i="7"/>
  <c r="O19" i="7" s="1"/>
  <c r="Q19" i="7" s="1"/>
  <c r="R19" i="7" s="1"/>
  <c r="N14" i="7"/>
  <c r="H14" i="7"/>
  <c r="O14" i="7" s="1"/>
  <c r="Q14" i="7" s="1"/>
  <c r="R14" i="7" s="1"/>
  <c r="AL19" i="5"/>
  <c r="AL12" i="5"/>
  <c r="AL13" i="5"/>
  <c r="AL8" i="5"/>
  <c r="AL9" i="5"/>
  <c r="AL7" i="5"/>
  <c r="AL10" i="5"/>
  <c r="AL20" i="5"/>
  <c r="AL17" i="5"/>
  <c r="AL18" i="5"/>
  <c r="AL21" i="5"/>
  <c r="AL15" i="5"/>
  <c r="AL14" i="5"/>
  <c r="AL16" i="5"/>
  <c r="AL11" i="5"/>
  <c r="O10" i="7" l="1"/>
  <c r="Q10" i="7" s="1"/>
  <c r="R10" i="7" s="1"/>
  <c r="O6" i="7"/>
  <c r="Q6" i="7" s="1"/>
  <c r="R6" i="7" s="1"/>
  <c r="N15" i="7"/>
  <c r="B17" i="8" s="1"/>
  <c r="H15" i="7"/>
  <c r="O17" i="7"/>
  <c r="Q17" i="7" s="1"/>
  <c r="R17" i="7" s="1"/>
  <c r="O8" i="7"/>
  <c r="Q8" i="7" s="1"/>
  <c r="R8" i="7" s="1"/>
  <c r="O15" i="7" l="1"/>
  <c r="B13" i="8"/>
  <c r="Q15" i="7" l="1"/>
  <c r="B18" i="8"/>
  <c r="R15" i="7" l="1"/>
  <c r="D14" i="8"/>
  <c r="D18" i="8" s="1"/>
  <c r="C2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4" authorId="0" shapeId="0" xr:uid="{07443614-99F7-4486-821B-5D114E356D03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 - Dearness Allowance
12% of Basic Salary</t>
        </r>
      </text>
    </comment>
    <comment ref="K4" authorId="0" shapeId="0" xr:uid="{F7E0F96E-A566-42E6-9751-84148480BF5F}">
      <text>
        <r>
          <rPr>
            <b/>
            <sz val="9"/>
            <color indexed="81"/>
            <rFont val="Tahoma"/>
            <family val="2"/>
          </rPr>
          <t xml:space="preserve">HRA - House Rent Allowance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Metro City - HRA 50% of Basic Salary
Non-Metro City - HRA 40% of Basic Salary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DDD009C7-680E-4FDB-BC36-4873341A460F}">
      <text>
        <r>
          <rPr>
            <b/>
            <sz val="9"/>
            <color indexed="81"/>
            <rFont val="Tahoma"/>
            <family val="2"/>
          </rPr>
          <t xml:space="preserve">
TA - Travelling Allowance</t>
        </r>
      </text>
    </comment>
    <comment ref="P4" authorId="0" shapeId="0" xr:uid="{7DFE1984-15D5-4D7C-9456-5433359D51EC}">
      <text>
        <r>
          <rPr>
            <b/>
            <sz val="9"/>
            <color indexed="81"/>
            <rFont val="Tahoma"/>
            <family val="2"/>
          </rPr>
          <t xml:space="preserve">
PF - Provident Fund
12% of Basic Salary</t>
        </r>
      </text>
    </comment>
    <comment ref="Q4" authorId="0" shapeId="0" xr:uid="{C2914CF9-E894-449A-9C08-56B6DAF2F6A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ESI -  Employee State Insurance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If Salary &lt;= 21000 - ESI 0.75% of Gross Salary</t>
        </r>
      </text>
    </comment>
  </commentList>
</comments>
</file>

<file path=xl/sharedStrings.xml><?xml version="1.0" encoding="utf-8"?>
<sst xmlns="http://schemas.openxmlformats.org/spreadsheetml/2006/main" count="540" uniqueCount="85">
  <si>
    <t>MONTH</t>
  </si>
  <si>
    <t>YEAR</t>
  </si>
  <si>
    <t>Emp_ID</t>
  </si>
  <si>
    <t>Emp_Name</t>
  </si>
  <si>
    <t>Aarav Sharma</t>
  </si>
  <si>
    <t>Ananya Iyer</t>
  </si>
  <si>
    <t>Ishaan Kapoor</t>
  </si>
  <si>
    <t>Diya Nair</t>
  </si>
  <si>
    <t>Rohan Deshmukh</t>
  </si>
  <si>
    <t>Meera Banerjee</t>
  </si>
  <si>
    <t>Arjun Verma</t>
  </si>
  <si>
    <t>Kavya Reddy</t>
  </si>
  <si>
    <t>Kabir Joshi</t>
  </si>
  <si>
    <t>Anika Choudhury</t>
  </si>
  <si>
    <t>Devendra Kulkarni</t>
  </si>
  <si>
    <t>Riya Chatterjee</t>
  </si>
  <si>
    <t>Aditya Malhotra</t>
  </si>
  <si>
    <t>Shruti Srinivasan</t>
  </si>
  <si>
    <t>Vivaan Mehta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</si>
  <si>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</si>
  <si>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</si>
  <si>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</si>
  <si>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</si>
  <si>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</si>
  <si>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</si>
  <si>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</si>
  <si>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</si>
  <si>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</si>
  <si>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</si>
  <si>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</si>
  <si>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</si>
  <si>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</si>
  <si>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</si>
  <si>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</si>
  <si>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Total Days</t>
  </si>
  <si>
    <t>Present</t>
  </si>
  <si>
    <t>Absent</t>
  </si>
  <si>
    <t>Holiday</t>
  </si>
  <si>
    <t>Week Off</t>
  </si>
  <si>
    <t>SL</t>
  </si>
  <si>
    <t>CL</t>
  </si>
  <si>
    <t>a</t>
  </si>
  <si>
    <t>h</t>
  </si>
  <si>
    <t>sl</t>
  </si>
  <si>
    <t>cl</t>
  </si>
  <si>
    <t>p</t>
  </si>
  <si>
    <t>May</t>
  </si>
  <si>
    <t>EMP_Name</t>
  </si>
  <si>
    <t>Designation</t>
  </si>
  <si>
    <t>Basic Salary</t>
  </si>
  <si>
    <t>Attendance(Working Days)</t>
  </si>
  <si>
    <t>Per Day Salary</t>
  </si>
  <si>
    <t>Salary (Based on Attendance)</t>
  </si>
  <si>
    <t>DA (12%)</t>
  </si>
  <si>
    <t>City</t>
  </si>
  <si>
    <t>HRA</t>
  </si>
  <si>
    <t>TA</t>
  </si>
  <si>
    <t>OT in Hrs.</t>
  </si>
  <si>
    <t>Overtime Pay</t>
  </si>
  <si>
    <t>Gross Salary</t>
  </si>
  <si>
    <t>PF (12%)</t>
  </si>
  <si>
    <t>ESI (0.75%)</t>
  </si>
  <si>
    <t>Net Salary</t>
  </si>
  <si>
    <t>Manager</t>
  </si>
  <si>
    <t>Engineer</t>
  </si>
  <si>
    <t>Supervisor</t>
  </si>
  <si>
    <t>S. Tech</t>
  </si>
  <si>
    <t>Tech</t>
  </si>
  <si>
    <t>Helper</t>
  </si>
  <si>
    <t>Metro</t>
  </si>
  <si>
    <t>Non-Metro</t>
  </si>
  <si>
    <t>Employee Details</t>
  </si>
  <si>
    <t>Salary Details</t>
  </si>
  <si>
    <t>Salary Slip Print Date</t>
  </si>
  <si>
    <t>Earnings</t>
  </si>
  <si>
    <t>Deductions</t>
  </si>
  <si>
    <t>Loan</t>
  </si>
  <si>
    <t>Tax</t>
  </si>
  <si>
    <t>Gross Deduction</t>
  </si>
  <si>
    <t>Employee Signature</t>
  </si>
  <si>
    <t>Manager Signature</t>
  </si>
  <si>
    <t>D&amp;A pvt ltd.</t>
  </si>
  <si>
    <t>New Friends Colony, Topsia Kolkata, India-700049</t>
  </si>
  <si>
    <t>Salary Slip For The Month Of -</t>
  </si>
  <si>
    <t>Thank You,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</si>
</sst>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dd"/>
    <numFmt numFmtId="165" formatCode="_ [$₹-4009]\ * #,##0_ ;_ [$₹-4009]\ * \-#,##0_ ;_ [$₹-4009]\ * &quot;-&quot;??_ ;_ @_ "/>
    <numFmt numFmtId="166" formatCode="_ [$₹-4009]\ * #,##0.00_ ;_ [$₹-4009]\ * \-#,##0.00_ ;_ [$₹-4009]\ * &quot;-&quot;??_ ;_ @_ 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7">
    <xf numFmtId="0" fontId="0" fillId="0" borderId="0" xfId="0"/>
    <xf numFmtId="164" fontId="0" fillId="0" borderId="0" xfId="0" applyNumberFormat="1"/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2" fontId="6" fillId="0" borderId="1" xfId="0" applyNumberFormat="1" applyFont="1" applyBorder="1"/>
    <xf numFmtId="0" fontId="2" fillId="0" borderId="4" xfId="0" applyFont="1" applyBorder="1" applyAlignment="1">
      <alignment horizontal="left" vertical="center" indent="1"/>
    </xf>
    <xf numFmtId="0" fontId="0" fillId="0" borderId="4" xfId="0" applyBorder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indent="1"/>
    </xf>
    <xf numFmtId="14" fontId="2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right" vertical="center"/>
    </xf>
    <xf numFmtId="0" fontId="11" fillId="4" borderId="13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3" fillId="2" borderId="12" xfId="0" applyFont="1" applyFill="1" applyBorder="1" applyAlignment="1">
      <alignment vertical="center"/>
    </xf>
    <xf numFmtId="165" fontId="13" fillId="2" borderId="14" xfId="1" applyNumberFormat="1" applyFont="1" applyFill="1" applyBorder="1" applyAlignment="1">
      <alignment vertical="center"/>
    </xf>
    <xf numFmtId="0" fontId="2" fillId="0" borderId="0" xfId="0" applyFont="1" applyAlignment="1">
      <alignment horizontal="right" indent="1"/>
    </xf>
    <xf numFmtId="14" fontId="2" fillId="0" borderId="3" xfId="0" applyNumberFormat="1" applyFont="1" applyBorder="1" applyAlignment="1">
      <alignment horizontal="right" indent="1"/>
    </xf>
    <xf numFmtId="0" fontId="2" fillId="0" borderId="3" xfId="0" applyFont="1" applyBorder="1" applyAlignment="1">
      <alignment horizontal="right" indent="1"/>
    </xf>
    <xf numFmtId="166" fontId="2" fillId="0" borderId="0" xfId="0" applyNumberFormat="1" applyFont="1" applyAlignment="1">
      <alignment horizontal="right" indent="1"/>
    </xf>
    <xf numFmtId="166" fontId="2" fillId="0" borderId="3" xfId="0" applyNumberFormat="1" applyFont="1" applyBorder="1" applyAlignment="1">
      <alignment horizontal="left" vertical="center" indent="1"/>
    </xf>
    <xf numFmtId="166" fontId="0" fillId="0" borderId="3" xfId="0" applyNumberFormat="1" applyBorder="1"/>
    <xf numFmtId="166" fontId="2" fillId="0" borderId="3" xfId="1" applyNumberFormat="1" applyFont="1" applyBorder="1" applyAlignment="1">
      <alignment horizontal="left" vertical="center"/>
    </xf>
    <xf numFmtId="166" fontId="2" fillId="0" borderId="3" xfId="0" applyNumberFormat="1" applyFont="1" applyBorder="1" applyAlignment="1">
      <alignment vertical="center"/>
    </xf>
    <xf numFmtId="166" fontId="13" fillId="2" borderId="13" xfId="1" applyNumberFormat="1" applyFont="1" applyFill="1" applyBorder="1" applyAlignment="1">
      <alignment vertical="center"/>
    </xf>
    <xf numFmtId="2" fontId="2" fillId="0" borderId="0" xfId="0" applyNumberFormat="1" applyFont="1" applyAlignment="1">
      <alignment horizontal="right" indent="1"/>
    </xf>
    <xf numFmtId="2" fontId="2" fillId="0" borderId="3" xfId="0" applyNumberFormat="1" applyFont="1" applyBorder="1" applyAlignment="1">
      <alignment horizontal="right" indent="1"/>
    </xf>
    <xf numFmtId="0" fontId="14" fillId="2" borderId="1" xfId="0" applyFont="1" applyFill="1" applyBorder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7" fillId="2" borderId="0" xfId="0" applyFont="1" applyFill="1"/>
    <xf numFmtId="0" fontId="15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textRotation="90"/>
    </xf>
    <xf numFmtId="0" fontId="0" fillId="0" borderId="0" xfId="0" applyAlignment="1">
      <alignment horizontal="center" textRotation="90"/>
    </xf>
    <xf numFmtId="0" fontId="11" fillId="3" borderId="5" xfId="0" applyFont="1" applyFill="1" applyBorder="1" applyAlignment="1">
      <alignment horizontal="right" vertical="center"/>
    </xf>
    <xf numFmtId="0" fontId="11" fillId="3" borderId="6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right" indent="2"/>
    </xf>
    <xf numFmtId="0" fontId="11" fillId="0" borderId="0" xfId="0" applyFont="1" applyAlignment="1">
      <alignment horizontal="right" indent="2"/>
    </xf>
    <xf numFmtId="0" fontId="11" fillId="0" borderId="3" xfId="0" applyFont="1" applyBorder="1" applyAlignment="1">
      <alignment horizontal="right" indent="2"/>
    </xf>
    <xf numFmtId="0" fontId="11" fillId="4" borderId="11" xfId="0" applyFont="1" applyFill="1" applyBorder="1" applyAlignment="1">
      <alignment horizontal="left" vertical="center" indent="1"/>
    </xf>
    <xf numFmtId="0" fontId="11" fillId="4" borderId="12" xfId="0" applyFont="1" applyFill="1" applyBorder="1" applyAlignment="1">
      <alignment horizontal="left" vertical="center" indent="1"/>
    </xf>
    <xf numFmtId="166" fontId="12" fillId="4" borderId="13" xfId="1" applyNumberFormat="1" applyFont="1" applyFill="1" applyBorder="1" applyAlignment="1">
      <alignment horizontal="center" vertical="center"/>
    </xf>
    <xf numFmtId="166" fontId="12" fillId="4" borderId="14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1743075</xdr:colOff>
      <xdr:row>21</xdr:row>
      <xdr:rowOff>228600</xdr:rowOff>
    </xdr:from>
    <xdr:to>
      <xdr:col>1</xdr:col>
      <xdr:colOff>1006225</xdr:colOff>
      <xdr:row>21</xdr:row>
      <xdr:rowOff>228600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843917F-05C8-454D-A69A-82A5F0923153}"/>
            </a:ext>
          </a:extLst>
        </xdr:cNvPr>
        <xdr:cNvCxnSpPr/>
      </xdr:nvCxnSpPr>
      <xdr:spPr>
        <a:xfrm>
          <a:off x="26974800" y="4772025"/>
          <a:ext cx="13015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1714149</xdr:colOff>
      <xdr:row>21</xdr:row>
      <xdr:rowOff>228600</xdr:rowOff>
    </xdr:from>
    <xdr:to>
      <xdr:col>4</xdr:col>
      <xdr:colOff>0</xdr:colOff>
      <xdr:row>21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AC46593-07E5-4242-B6C3-C1E70AB55C1B}"/>
            </a:ext>
          </a:extLst>
        </xdr:cNvPr>
        <xdr:cNvCxnSpPr/>
      </xdr:nvCxnSpPr>
      <xdr:spPr>
        <a:xfrm>
          <a:off x="30536799" y="4772025"/>
          <a:ext cx="161007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851E15-A917-4F31-BD96-D94F04B33EC2}">
  <we:reference id="wa104381270" version="1.1.0.0" store="en-US" storeType="OMEX"/>
  <we:alternateReferences>
    <we:reference id="WA104381270" version="1.1.0.0" store="" storeType="OMEX"/>
  </we:alternateReferences>
  <we:properties>
    <we:property name="WorkbookId" value="&quot;9ad46dd6-0eff-44f6-a32b-2009a796905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C7DA-F557-43EA-B44D-B51FC4843800}">
  <dimension ref="A1:AN45"/>
  <sheetViews>
    <sheetView zoomScale="90" zoomScaleNormal="90" workbookViewId="0">
      <selection activeCell="W12" sqref="W12"/>
    </sheetView>
  </sheetViews>
  <sheetFormatPr defaultRowHeight="15" x14ac:dyDescent="0.25"/>
  <cols>
    <col min="1" max="1" width="11.5703125" bestFit="1" customWidth="1"/>
    <col min="2" max="2" width="17.5703125" bestFit="1" customWidth="1"/>
    <col min="3" max="33" width="3.7109375" bestFit="1" customWidth="1"/>
    <col min="34" max="40" width="3.28515625" bestFit="1" customWidth="1"/>
    <col min="42" max="42" width="7.7109375" bestFit="1" customWidth="1"/>
    <col min="43" max="43" width="17.5703125" bestFit="1" customWidth="1"/>
    <col min="44" max="44" width="11.5703125" bestFit="1" customWidth="1"/>
    <col min="46" max="46" width="10" bestFit="1" customWidth="1"/>
    <col min="47" max="47" width="25.28515625" bestFit="1" customWidth="1"/>
    <col min="51" max="51" width="11" bestFit="1" customWidth="1"/>
    <col min="61" max="61" width="30.5703125" customWidth="1"/>
    <col min="62" max="62" width="23.28515625" customWidth="1"/>
    <col min="63" max="63" width="30.85546875" customWidth="1"/>
    <col min="64" max="64" width="19" customWidth="1"/>
  </cols>
  <sheetData>
    <row r="1" spans="1:40" ht="15.75" customHeight="1" x14ac:dyDescent="0.25">
      <c r="A1" s="42" t="s">
        <v>0</v>
      </c>
      <c r="B1" s="42" t="s">
        <v>1</v>
      </c>
      <c r="C1" s="46" t="str">
        <f>"Fully Automatic Attendance Sheet - "&amp;A2&amp;" "&amp;B2</f>
        <v>Fully Automatic Attendance Sheet - May 2026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7" t="s">
        <v>81</v>
      </c>
      <c r="AI1" s="47"/>
      <c r="AJ1" s="47"/>
      <c r="AK1" s="47"/>
      <c r="AL1" s="47"/>
      <c r="AM1" s="47"/>
      <c r="AN1" s="47"/>
    </row>
    <row r="2" spans="1:40" ht="15.75" customHeight="1" x14ac:dyDescent="0.25">
      <c r="A2" s="42" t="s">
        <v>46</v>
      </c>
      <c r="B2" s="42">
        <v>2026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7"/>
      <c r="AI2" s="47"/>
      <c r="AJ2" s="47"/>
      <c r="AK2" s="47"/>
      <c r="AL2" s="47"/>
      <c r="AM2" s="47"/>
      <c r="AN2" s="47"/>
    </row>
    <row r="3" spans="1:40" ht="15.75" customHeight="1" x14ac:dyDescent="0.25">
      <c r="A3" s="43">
        <f>DATEVALUE("1"&amp;A2&amp;B2)</f>
        <v>46143</v>
      </c>
      <c r="B3" s="43">
        <f>EOMONTH(A3,0)</f>
        <v>46173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7"/>
      <c r="AI3" s="47"/>
      <c r="AJ3" s="47"/>
      <c r="AK3" s="47"/>
      <c r="AL3" s="47"/>
      <c r="AM3" s="47"/>
      <c r="AN3" s="47"/>
    </row>
    <row r="4" spans="1:40" ht="15" customHeight="1" x14ac:dyDescent="0.25">
      <c r="A4" s="48" t="s">
        <v>2</v>
      </c>
      <c r="B4" s="48" t="s">
        <v>3</v>
      </c>
      <c r="C4" s="1">
        <f>A3</f>
        <v>46143</v>
      </c>
      <c r="D4" s="1">
        <f>IF(C4&lt;$B$3,C4+1,"")</f>
        <v>46144</v>
      </c>
      <c r="E4" s="1">
        <f>IF(D4&lt;$B$3,D4+1,"")</f>
        <v>46145</v>
      </c>
      <c r="F4" s="1">
        <f t="shared" ref="F4:V4" si="0">IF(E4&lt;$B$3,E4+1,"")</f>
        <v>46146</v>
      </c>
      <c r="G4" s="1">
        <f t="shared" si="0"/>
        <v>46147</v>
      </c>
      <c r="H4" s="1">
        <f t="shared" si="0"/>
        <v>46148</v>
      </c>
      <c r="I4" s="1">
        <f t="shared" si="0"/>
        <v>46149</v>
      </c>
      <c r="J4" s="1">
        <f t="shared" si="0"/>
        <v>46150</v>
      </c>
      <c r="K4" s="1">
        <f t="shared" si="0"/>
        <v>46151</v>
      </c>
      <c r="L4" s="1">
        <f t="shared" si="0"/>
        <v>46152</v>
      </c>
      <c r="M4" s="1">
        <f t="shared" si="0"/>
        <v>46153</v>
      </c>
      <c r="N4" s="1">
        <f t="shared" si="0"/>
        <v>46154</v>
      </c>
      <c r="O4" s="1">
        <f t="shared" si="0"/>
        <v>46155</v>
      </c>
      <c r="P4" s="1">
        <f t="shared" si="0"/>
        <v>46156</v>
      </c>
      <c r="Q4" s="1">
        <f t="shared" si="0"/>
        <v>46157</v>
      </c>
      <c r="R4" s="1">
        <f t="shared" si="0"/>
        <v>46158</v>
      </c>
      <c r="S4" s="1">
        <f t="shared" si="0"/>
        <v>46159</v>
      </c>
      <c r="T4" s="1">
        <f t="shared" si="0"/>
        <v>46160</v>
      </c>
      <c r="U4" s="1">
        <f t="shared" si="0"/>
        <v>46161</v>
      </c>
      <c r="V4" s="1">
        <f t="shared" si="0"/>
        <v>46162</v>
      </c>
      <c r="W4" s="1">
        <f>IF(V4&lt;$B$3,V4+1,"")</f>
        <v>46163</v>
      </c>
      <c r="X4" s="1">
        <f>IF(W4&lt;$B$3,W4+1,"")</f>
        <v>46164</v>
      </c>
      <c r="Y4" s="1">
        <f t="shared" ref="Y4:AG4" si="1">IF(X4&lt;$B$3,X4+1,"")</f>
        <v>46165</v>
      </c>
      <c r="Z4" s="1">
        <f t="shared" si="1"/>
        <v>46166</v>
      </c>
      <c r="AA4" s="1">
        <f t="shared" si="1"/>
        <v>46167</v>
      </c>
      <c r="AB4" s="1">
        <f t="shared" si="1"/>
        <v>46168</v>
      </c>
      <c r="AC4" s="1">
        <f t="shared" si="1"/>
        <v>46169</v>
      </c>
      <c r="AD4" s="1">
        <f t="shared" si="1"/>
        <v>46170</v>
      </c>
      <c r="AE4" s="1">
        <f t="shared" si="1"/>
        <v>46171</v>
      </c>
      <c r="AF4" s="1">
        <f t="shared" si="1"/>
        <v>46172</v>
      </c>
      <c r="AG4" s="1">
        <f t="shared" si="1"/>
        <v>46173</v>
      </c>
      <c r="AH4" s="49" t="s">
        <v>34</v>
      </c>
      <c r="AI4" s="49" t="s">
        <v>35</v>
      </c>
      <c r="AJ4" s="49" t="s">
        <v>36</v>
      </c>
      <c r="AK4" s="49" t="s">
        <v>37</v>
      </c>
      <c r="AL4" s="49" t="s">
        <v>38</v>
      </c>
      <c r="AM4" s="49" t="s">
        <v>39</v>
      </c>
      <c r="AN4" s="49" t="s">
        <v>40</v>
      </c>
    </row>
    <row r="5" spans="1:40" ht="15" customHeight="1" x14ac:dyDescent="0.25">
      <c r="A5" s="48"/>
      <c r="B5" s="48"/>
      <c r="C5" s="50" t="str">
        <f>TEXT(C4,"DDD")</f>
        <v>Fri</v>
      </c>
      <c r="D5" s="50" t="str">
        <f t="shared" ref="D5:AG5" si="2">TEXT(D4,"DDD")</f>
        <v>Sat</v>
      </c>
      <c r="E5" s="50" t="str">
        <f t="shared" si="2"/>
        <v>Sun</v>
      </c>
      <c r="F5" s="50" t="str">
        <f t="shared" si="2"/>
        <v>Mon</v>
      </c>
      <c r="G5" s="50" t="str">
        <f t="shared" si="2"/>
        <v>Tue</v>
      </c>
      <c r="H5" s="50" t="str">
        <f t="shared" si="2"/>
        <v>Wed</v>
      </c>
      <c r="I5" s="50" t="str">
        <f t="shared" si="2"/>
        <v>Thu</v>
      </c>
      <c r="J5" s="50" t="str">
        <f t="shared" si="2"/>
        <v>Fri</v>
      </c>
      <c r="K5" s="50" t="str">
        <f t="shared" si="2"/>
        <v>Sat</v>
      </c>
      <c r="L5" s="50" t="str">
        <f t="shared" si="2"/>
        <v>Sun</v>
      </c>
      <c r="M5" s="50" t="str">
        <f t="shared" si="2"/>
        <v>Mon</v>
      </c>
      <c r="N5" s="50" t="str">
        <f t="shared" si="2"/>
        <v>Tue</v>
      </c>
      <c r="O5" s="50" t="str">
        <f t="shared" si="2"/>
        <v>Wed</v>
      </c>
      <c r="P5" s="50" t="str">
        <f t="shared" si="2"/>
        <v>Thu</v>
      </c>
      <c r="Q5" s="50" t="str">
        <f t="shared" si="2"/>
        <v>Fri</v>
      </c>
      <c r="R5" s="50" t="str">
        <f t="shared" si="2"/>
        <v>Sat</v>
      </c>
      <c r="S5" s="50" t="str">
        <f t="shared" si="2"/>
        <v>Sun</v>
      </c>
      <c r="T5" s="50" t="str">
        <f t="shared" si="2"/>
        <v>Mon</v>
      </c>
      <c r="U5" s="50" t="str">
        <f t="shared" si="2"/>
        <v>Tue</v>
      </c>
      <c r="V5" s="50" t="str">
        <f t="shared" si="2"/>
        <v>Wed</v>
      </c>
      <c r="W5" s="50" t="str">
        <f t="shared" si="2"/>
        <v>Thu</v>
      </c>
      <c r="X5" s="50" t="str">
        <f t="shared" si="2"/>
        <v>Fri</v>
      </c>
      <c r="Y5" s="50" t="str">
        <f t="shared" si="2"/>
        <v>Sat</v>
      </c>
      <c r="Z5" s="50" t="str">
        <f t="shared" si="2"/>
        <v>Sun</v>
      </c>
      <c r="AA5" s="50" t="str">
        <f t="shared" si="2"/>
        <v>Mon</v>
      </c>
      <c r="AB5" s="50" t="str">
        <f t="shared" si="2"/>
        <v>Tue</v>
      </c>
      <c r="AC5" s="50" t="str">
        <f t="shared" si="2"/>
        <v>Wed</v>
      </c>
      <c r="AD5" s="50" t="str">
        <f t="shared" si="2"/>
        <v>Thu</v>
      </c>
      <c r="AE5" s="50" t="str">
        <f t="shared" si="2"/>
        <v>Fri</v>
      </c>
      <c r="AF5" s="50" t="str">
        <f t="shared" si="2"/>
        <v>Sat</v>
      </c>
      <c r="AG5" s="50" t="str">
        <f t="shared" si="2"/>
        <v>Sun</v>
      </c>
      <c r="AH5" s="49"/>
      <c r="AI5" s="49"/>
      <c r="AJ5" s="49"/>
      <c r="AK5" s="49"/>
      <c r="AL5" s="49"/>
      <c r="AM5" s="49"/>
      <c r="AN5" s="49"/>
    </row>
    <row r="6" spans="1:40" x14ac:dyDescent="0.25">
      <c r="A6" s="48"/>
      <c r="B6" s="48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49"/>
      <c r="AI6" s="49"/>
      <c r="AJ6" s="49"/>
      <c r="AK6" s="49"/>
      <c r="AL6" s="49"/>
      <c r="AM6" s="49"/>
      <c r="AN6" s="49"/>
    </row>
    <row r="7" spans="1:40" x14ac:dyDescent="0.25">
      <c r="A7" s="44" t="s">
        <v>19</v>
      </c>
      <c r="B7" s="44" t="s">
        <v>4</v>
      </c>
      <c r="C7" t="s">
        <v>42</v>
      </c>
      <c r="D7" t="s">
        <v>45</v>
      </c>
      <c r="F7" t="s">
        <v>45</v>
      </c>
      <c r="G7" t="s">
        <v>41</v>
      </c>
      <c r="H7" t="s">
        <v>45</v>
      </c>
      <c r="I7" t="s">
        <v>45</v>
      </c>
      <c r="J7" t="s">
        <v>45</v>
      </c>
      <c r="K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42</v>
      </c>
      <c r="T7" t="s">
        <v>45</v>
      </c>
      <c r="U7" t="s">
        <v>41</v>
      </c>
      <c r="V7" t="s">
        <v>45</v>
      </c>
      <c r="W7" t="s">
        <v>45</v>
      </c>
      <c r="X7" t="s">
        <v>45</v>
      </c>
      <c r="Y7" t="s">
        <v>45</v>
      </c>
      <c r="AA7" t="s">
        <v>45</v>
      </c>
      <c r="AB7" t="s">
        <v>42</v>
      </c>
      <c r="AC7" t="s">
        <v>45</v>
      </c>
      <c r="AD7" t="s">
        <v>45</v>
      </c>
      <c r="AE7" t="s">
        <v>45</v>
      </c>
      <c r="AF7" t="s">
        <v>43</v>
      </c>
      <c r="AH7" s="45">
        <f>COUNT(C$4:AG$4)</f>
        <v>31</v>
      </c>
      <c r="AI7" s="45">
        <f>COUNTIF($C7:$AG7,"p")</f>
        <v>20</v>
      </c>
      <c r="AJ7" s="45">
        <f>COUNTIF($C7:$AG7,"a")</f>
        <v>2</v>
      </c>
      <c r="AK7" s="45">
        <f>COUNTIF($C7:$AG7,"h")</f>
        <v>3</v>
      </c>
      <c r="AL7" s="45">
        <f>COUNTIF(C$5:AG$6,"sun")</f>
        <v>5</v>
      </c>
      <c r="AM7" s="45">
        <f>COUNTIF($C7:$AG7,"sl")</f>
        <v>1</v>
      </c>
      <c r="AN7" s="45">
        <f>COUNTIF($C7:$AG7,"cl")</f>
        <v>0</v>
      </c>
    </row>
    <row r="8" spans="1:40" x14ac:dyDescent="0.25">
      <c r="A8" s="44" t="s">
        <v>20</v>
      </c>
      <c r="B8" s="44" t="s">
        <v>5</v>
      </c>
      <c r="C8" t="s">
        <v>42</v>
      </c>
      <c r="D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41</v>
      </c>
      <c r="K8" t="s">
        <v>45</v>
      </c>
      <c r="M8" t="s">
        <v>45</v>
      </c>
      <c r="N8" t="s">
        <v>45</v>
      </c>
      <c r="O8" t="s">
        <v>45</v>
      </c>
      <c r="P8" t="s">
        <v>45</v>
      </c>
      <c r="Q8" t="s">
        <v>45</v>
      </c>
      <c r="R8" t="s">
        <v>42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AA8" t="s">
        <v>45</v>
      </c>
      <c r="AB8" t="s">
        <v>42</v>
      </c>
      <c r="AC8" t="s">
        <v>45</v>
      </c>
      <c r="AD8" t="s">
        <v>45</v>
      </c>
      <c r="AE8" t="s">
        <v>45</v>
      </c>
      <c r="AF8" t="s">
        <v>45</v>
      </c>
      <c r="AH8" s="45">
        <f t="shared" ref="AH8:AH21" si="3">COUNT(C$4:AG$4)</f>
        <v>31</v>
      </c>
      <c r="AI8" s="45">
        <f t="shared" ref="AI8:AI21" si="4">COUNTIF($C8:$AG8,"p")</f>
        <v>22</v>
      </c>
      <c r="AJ8" s="45">
        <f t="shared" ref="AJ8:AJ21" si="5">COUNTIF($C8:$AG8,"a")</f>
        <v>1</v>
      </c>
      <c r="AK8" s="45">
        <f t="shared" ref="AK8:AK21" si="6">COUNTIF($C8:$AG8,"h")</f>
        <v>3</v>
      </c>
      <c r="AL8" s="45">
        <f t="shared" ref="AL8:AL21" si="7">COUNTIF(C$5:AG$6,"sun")</f>
        <v>5</v>
      </c>
      <c r="AM8" s="45">
        <f t="shared" ref="AM8:AM21" si="8">COUNTIF($C8:$AG8,"sl")</f>
        <v>0</v>
      </c>
      <c r="AN8" s="45">
        <f t="shared" ref="AN8:AN21" si="9">COUNTIF($C8:$AG8,"cl")</f>
        <v>0</v>
      </c>
    </row>
    <row r="9" spans="1:40" x14ac:dyDescent="0.25">
      <c r="A9" s="44" t="s">
        <v>21</v>
      </c>
      <c r="B9" s="44" t="s">
        <v>6</v>
      </c>
      <c r="C9" t="s">
        <v>42</v>
      </c>
      <c r="D9" t="s">
        <v>45</v>
      </c>
      <c r="F9" t="s">
        <v>45</v>
      </c>
      <c r="G9" t="s">
        <v>41</v>
      </c>
      <c r="H9" t="s">
        <v>45</v>
      </c>
      <c r="I9" t="s">
        <v>45</v>
      </c>
      <c r="J9" t="s">
        <v>45</v>
      </c>
      <c r="K9" t="s">
        <v>45</v>
      </c>
      <c r="M9" t="s">
        <v>45</v>
      </c>
      <c r="N9" t="s">
        <v>41</v>
      </c>
      <c r="O9" t="s">
        <v>43</v>
      </c>
      <c r="P9" t="s">
        <v>45</v>
      </c>
      <c r="Q9" t="s">
        <v>45</v>
      </c>
      <c r="R9" t="s">
        <v>42</v>
      </c>
      <c r="T9" t="s">
        <v>45</v>
      </c>
      <c r="U9" t="s">
        <v>45</v>
      </c>
      <c r="V9" t="s">
        <v>41</v>
      </c>
      <c r="W9" t="s">
        <v>45</v>
      </c>
      <c r="X9" t="s">
        <v>45</v>
      </c>
      <c r="Y9" t="s">
        <v>45</v>
      </c>
      <c r="AA9" t="s">
        <v>45</v>
      </c>
      <c r="AB9" t="s">
        <v>42</v>
      </c>
      <c r="AC9" t="s">
        <v>45</v>
      </c>
      <c r="AD9" t="s">
        <v>45</v>
      </c>
      <c r="AE9" t="s">
        <v>45</v>
      </c>
      <c r="AF9" t="s">
        <v>45</v>
      </c>
      <c r="AH9" s="45">
        <f t="shared" si="3"/>
        <v>31</v>
      </c>
      <c r="AI9" s="45">
        <f t="shared" si="4"/>
        <v>19</v>
      </c>
      <c r="AJ9" s="45">
        <f t="shared" si="5"/>
        <v>3</v>
      </c>
      <c r="AK9" s="45">
        <f t="shared" si="6"/>
        <v>3</v>
      </c>
      <c r="AL9" s="45">
        <f t="shared" si="7"/>
        <v>5</v>
      </c>
      <c r="AM9" s="45">
        <f t="shared" si="8"/>
        <v>1</v>
      </c>
      <c r="AN9" s="45">
        <f t="shared" si="9"/>
        <v>0</v>
      </c>
    </row>
    <row r="10" spans="1:40" x14ac:dyDescent="0.25">
      <c r="A10" s="44" t="s">
        <v>22</v>
      </c>
      <c r="B10" s="44" t="s">
        <v>7</v>
      </c>
      <c r="C10" t="s">
        <v>42</v>
      </c>
      <c r="D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41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  <c r="R10" t="s">
        <v>42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41</v>
      </c>
      <c r="AA10" t="s">
        <v>45</v>
      </c>
      <c r="AB10" t="s">
        <v>42</v>
      </c>
      <c r="AC10" t="s">
        <v>45</v>
      </c>
      <c r="AD10" t="s">
        <v>43</v>
      </c>
      <c r="AE10" t="s">
        <v>45</v>
      </c>
      <c r="AF10" t="s">
        <v>45</v>
      </c>
      <c r="AH10" s="45">
        <f t="shared" si="3"/>
        <v>31</v>
      </c>
      <c r="AI10" s="45">
        <f t="shared" si="4"/>
        <v>20</v>
      </c>
      <c r="AJ10" s="45">
        <f t="shared" si="5"/>
        <v>2</v>
      </c>
      <c r="AK10" s="45">
        <f t="shared" si="6"/>
        <v>3</v>
      </c>
      <c r="AL10" s="45">
        <f t="shared" si="7"/>
        <v>5</v>
      </c>
      <c r="AM10" s="45">
        <f t="shared" si="8"/>
        <v>1</v>
      </c>
      <c r="AN10" s="45">
        <f t="shared" si="9"/>
        <v>0</v>
      </c>
    </row>
    <row r="11" spans="1:40" x14ac:dyDescent="0.25">
      <c r="A11" s="44" t="s">
        <v>23</v>
      </c>
      <c r="B11" s="44" t="s">
        <v>8</v>
      </c>
      <c r="C11" t="s">
        <v>42</v>
      </c>
      <c r="D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41</v>
      </c>
      <c r="K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41</v>
      </c>
      <c r="R11" t="s">
        <v>42</v>
      </c>
      <c r="T11" t="s">
        <v>45</v>
      </c>
      <c r="U11" t="s">
        <v>45</v>
      </c>
      <c r="V11" t="s">
        <v>45</v>
      </c>
      <c r="W11" t="s">
        <v>44</v>
      </c>
      <c r="X11" t="s">
        <v>45</v>
      </c>
      <c r="Y11" t="s">
        <v>45</v>
      </c>
      <c r="AA11" t="s">
        <v>45</v>
      </c>
      <c r="AB11" t="s">
        <v>42</v>
      </c>
      <c r="AC11" t="s">
        <v>45</v>
      </c>
      <c r="AD11" t="s">
        <v>45</v>
      </c>
      <c r="AE11" t="s">
        <v>45</v>
      </c>
      <c r="AF11" t="s">
        <v>45</v>
      </c>
      <c r="AH11" s="45">
        <f t="shared" si="3"/>
        <v>31</v>
      </c>
      <c r="AI11" s="45">
        <f t="shared" si="4"/>
        <v>20</v>
      </c>
      <c r="AJ11" s="45">
        <f t="shared" si="5"/>
        <v>2</v>
      </c>
      <c r="AK11" s="45">
        <f t="shared" si="6"/>
        <v>3</v>
      </c>
      <c r="AL11" s="45">
        <f t="shared" si="7"/>
        <v>5</v>
      </c>
      <c r="AM11" s="45">
        <f t="shared" si="8"/>
        <v>0</v>
      </c>
      <c r="AN11" s="45">
        <f t="shared" si="9"/>
        <v>1</v>
      </c>
    </row>
    <row r="12" spans="1:40" x14ac:dyDescent="0.25">
      <c r="A12" s="44" t="s">
        <v>24</v>
      </c>
      <c r="B12" s="44" t="s">
        <v>9</v>
      </c>
      <c r="C12" t="s">
        <v>42</v>
      </c>
      <c r="D12" t="s">
        <v>45</v>
      </c>
      <c r="F12" t="s">
        <v>45</v>
      </c>
      <c r="G12" t="s">
        <v>45</v>
      </c>
      <c r="H12" t="s">
        <v>41</v>
      </c>
      <c r="I12" t="s">
        <v>45</v>
      </c>
      <c r="J12" t="s">
        <v>45</v>
      </c>
      <c r="K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42</v>
      </c>
      <c r="T12" t="s">
        <v>41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AA12" t="s">
        <v>45</v>
      </c>
      <c r="AB12" t="s">
        <v>42</v>
      </c>
      <c r="AC12" t="s">
        <v>45</v>
      </c>
      <c r="AD12" t="s">
        <v>45</v>
      </c>
      <c r="AE12" t="s">
        <v>45</v>
      </c>
      <c r="AF12" t="s">
        <v>45</v>
      </c>
      <c r="AH12" s="45">
        <f t="shared" si="3"/>
        <v>31</v>
      </c>
      <c r="AI12" s="45">
        <f t="shared" si="4"/>
        <v>21</v>
      </c>
      <c r="AJ12" s="45">
        <f t="shared" si="5"/>
        <v>2</v>
      </c>
      <c r="AK12" s="45">
        <f t="shared" si="6"/>
        <v>3</v>
      </c>
      <c r="AL12" s="45">
        <f t="shared" si="7"/>
        <v>5</v>
      </c>
      <c r="AM12" s="45">
        <f t="shared" si="8"/>
        <v>0</v>
      </c>
      <c r="AN12" s="45">
        <f t="shared" si="9"/>
        <v>0</v>
      </c>
    </row>
    <row r="13" spans="1:40" x14ac:dyDescent="0.25">
      <c r="A13" s="44" t="s">
        <v>25</v>
      </c>
      <c r="B13" s="44" t="s">
        <v>10</v>
      </c>
      <c r="C13" t="s">
        <v>42</v>
      </c>
      <c r="D13" t="s">
        <v>45</v>
      </c>
      <c r="F13" t="s">
        <v>43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M13" t="s">
        <v>45</v>
      </c>
      <c r="N13" t="s">
        <v>45</v>
      </c>
      <c r="O13" t="s">
        <v>41</v>
      </c>
      <c r="P13" t="s">
        <v>45</v>
      </c>
      <c r="Q13" t="s">
        <v>45</v>
      </c>
      <c r="R13" t="s">
        <v>42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AA13" t="s">
        <v>45</v>
      </c>
      <c r="AB13" t="s">
        <v>42</v>
      </c>
      <c r="AC13" t="s">
        <v>45</v>
      </c>
      <c r="AD13" t="s">
        <v>45</v>
      </c>
      <c r="AE13" t="s">
        <v>45</v>
      </c>
      <c r="AF13" t="s">
        <v>45</v>
      </c>
      <c r="AH13" s="45">
        <f t="shared" si="3"/>
        <v>31</v>
      </c>
      <c r="AI13" s="45">
        <f t="shared" si="4"/>
        <v>21</v>
      </c>
      <c r="AJ13" s="45">
        <f t="shared" si="5"/>
        <v>1</v>
      </c>
      <c r="AK13" s="45">
        <f t="shared" si="6"/>
        <v>3</v>
      </c>
      <c r="AL13" s="45">
        <f t="shared" si="7"/>
        <v>5</v>
      </c>
      <c r="AM13" s="45">
        <f t="shared" si="8"/>
        <v>1</v>
      </c>
      <c r="AN13" s="45">
        <f t="shared" si="9"/>
        <v>0</v>
      </c>
    </row>
    <row r="14" spans="1:40" x14ac:dyDescent="0.25">
      <c r="A14" s="44" t="s">
        <v>26</v>
      </c>
      <c r="B14" s="44" t="s">
        <v>11</v>
      </c>
      <c r="C14" t="s">
        <v>42</v>
      </c>
      <c r="D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M14" t="s">
        <v>45</v>
      </c>
      <c r="N14" t="s">
        <v>45</v>
      </c>
      <c r="O14" t="s">
        <v>44</v>
      </c>
      <c r="P14" t="s">
        <v>45</v>
      </c>
      <c r="Q14" t="s">
        <v>45</v>
      </c>
      <c r="R14" t="s">
        <v>42</v>
      </c>
      <c r="T14" t="s">
        <v>45</v>
      </c>
      <c r="U14" t="s">
        <v>41</v>
      </c>
      <c r="V14" t="s">
        <v>45</v>
      </c>
      <c r="W14" t="s">
        <v>45</v>
      </c>
      <c r="X14" t="s">
        <v>45</v>
      </c>
      <c r="Y14" t="s">
        <v>45</v>
      </c>
      <c r="AA14" t="s">
        <v>45</v>
      </c>
      <c r="AB14" t="s">
        <v>42</v>
      </c>
      <c r="AC14" t="s">
        <v>43</v>
      </c>
      <c r="AD14" t="s">
        <v>45</v>
      </c>
      <c r="AE14" t="s">
        <v>45</v>
      </c>
      <c r="AF14" t="s">
        <v>45</v>
      </c>
      <c r="AH14" s="45">
        <f t="shared" si="3"/>
        <v>31</v>
      </c>
      <c r="AI14" s="45">
        <f t="shared" si="4"/>
        <v>20</v>
      </c>
      <c r="AJ14" s="45">
        <f t="shared" si="5"/>
        <v>1</v>
      </c>
      <c r="AK14" s="45">
        <f t="shared" si="6"/>
        <v>3</v>
      </c>
      <c r="AL14" s="45">
        <f t="shared" si="7"/>
        <v>5</v>
      </c>
      <c r="AM14" s="45">
        <f t="shared" si="8"/>
        <v>1</v>
      </c>
      <c r="AN14" s="45">
        <f t="shared" si="9"/>
        <v>1</v>
      </c>
    </row>
    <row r="15" spans="1:40" x14ac:dyDescent="0.25">
      <c r="A15" s="44" t="s">
        <v>27</v>
      </c>
      <c r="B15" s="44" t="s">
        <v>12</v>
      </c>
      <c r="C15" t="s">
        <v>42</v>
      </c>
      <c r="D15" t="s">
        <v>45</v>
      </c>
      <c r="F15" t="s">
        <v>45</v>
      </c>
      <c r="G15" t="s">
        <v>45</v>
      </c>
      <c r="H15" t="s">
        <v>45</v>
      </c>
      <c r="I15" t="s">
        <v>44</v>
      </c>
      <c r="J15" t="s">
        <v>45</v>
      </c>
      <c r="K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42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41</v>
      </c>
      <c r="AA15" t="s">
        <v>45</v>
      </c>
      <c r="AB15" t="s">
        <v>42</v>
      </c>
      <c r="AC15" t="s">
        <v>45</v>
      </c>
      <c r="AD15" t="s">
        <v>45</v>
      </c>
      <c r="AE15" t="s">
        <v>45</v>
      </c>
      <c r="AF15" t="s">
        <v>45</v>
      </c>
      <c r="AH15" s="45">
        <f t="shared" si="3"/>
        <v>31</v>
      </c>
      <c r="AI15" s="45">
        <f t="shared" si="4"/>
        <v>21</v>
      </c>
      <c r="AJ15" s="45">
        <f t="shared" si="5"/>
        <v>1</v>
      </c>
      <c r="AK15" s="45">
        <f t="shared" si="6"/>
        <v>3</v>
      </c>
      <c r="AL15" s="45">
        <f t="shared" si="7"/>
        <v>5</v>
      </c>
      <c r="AM15" s="45">
        <f t="shared" si="8"/>
        <v>0</v>
      </c>
      <c r="AN15" s="45">
        <f t="shared" si="9"/>
        <v>1</v>
      </c>
    </row>
    <row r="16" spans="1:40" x14ac:dyDescent="0.25">
      <c r="A16" s="44" t="s">
        <v>28</v>
      </c>
      <c r="B16" s="44" t="s">
        <v>13</v>
      </c>
      <c r="C16" t="s">
        <v>42</v>
      </c>
      <c r="D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M16" t="s">
        <v>41</v>
      </c>
      <c r="N16" t="s">
        <v>45</v>
      </c>
      <c r="O16" t="s">
        <v>45</v>
      </c>
      <c r="P16" t="s">
        <v>45</v>
      </c>
      <c r="Q16" t="s">
        <v>45</v>
      </c>
      <c r="R16" t="s">
        <v>42</v>
      </c>
      <c r="T16" t="s">
        <v>45</v>
      </c>
      <c r="U16" t="s">
        <v>45</v>
      </c>
      <c r="V16" t="s">
        <v>43</v>
      </c>
      <c r="W16" t="s">
        <v>45</v>
      </c>
      <c r="X16" t="s">
        <v>45</v>
      </c>
      <c r="Y16" t="s">
        <v>45</v>
      </c>
      <c r="AA16" t="s">
        <v>45</v>
      </c>
      <c r="AB16" t="s">
        <v>42</v>
      </c>
      <c r="AC16" t="s">
        <v>45</v>
      </c>
      <c r="AD16" t="s">
        <v>45</v>
      </c>
      <c r="AE16" t="s">
        <v>45</v>
      </c>
      <c r="AF16" t="s">
        <v>45</v>
      </c>
      <c r="AH16" s="45">
        <f t="shared" si="3"/>
        <v>31</v>
      </c>
      <c r="AI16" s="45">
        <f t="shared" si="4"/>
        <v>21</v>
      </c>
      <c r="AJ16" s="45">
        <f t="shared" si="5"/>
        <v>1</v>
      </c>
      <c r="AK16" s="45">
        <f t="shared" si="6"/>
        <v>3</v>
      </c>
      <c r="AL16" s="45">
        <f t="shared" si="7"/>
        <v>5</v>
      </c>
      <c r="AM16" s="45">
        <f t="shared" si="8"/>
        <v>1</v>
      </c>
      <c r="AN16" s="45">
        <f t="shared" si="9"/>
        <v>0</v>
      </c>
    </row>
    <row r="17" spans="1:40" x14ac:dyDescent="0.25">
      <c r="A17" s="44" t="s">
        <v>29</v>
      </c>
      <c r="B17" s="44" t="s">
        <v>14</v>
      </c>
      <c r="C17" t="s">
        <v>42</v>
      </c>
      <c r="D17" t="s">
        <v>45</v>
      </c>
      <c r="F17" t="s">
        <v>45</v>
      </c>
      <c r="G17" t="s">
        <v>45</v>
      </c>
      <c r="H17" t="s">
        <v>41</v>
      </c>
      <c r="I17" t="s">
        <v>45</v>
      </c>
      <c r="J17" t="s">
        <v>45</v>
      </c>
      <c r="K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42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AA17" t="s">
        <v>45</v>
      </c>
      <c r="AB17" t="s">
        <v>42</v>
      </c>
      <c r="AC17" t="s">
        <v>45</v>
      </c>
      <c r="AD17" t="s">
        <v>45</v>
      </c>
      <c r="AE17" t="s">
        <v>43</v>
      </c>
      <c r="AF17" t="s">
        <v>45</v>
      </c>
      <c r="AH17" s="45">
        <f t="shared" si="3"/>
        <v>31</v>
      </c>
      <c r="AI17" s="45">
        <f t="shared" si="4"/>
        <v>21</v>
      </c>
      <c r="AJ17" s="45">
        <f t="shared" si="5"/>
        <v>1</v>
      </c>
      <c r="AK17" s="45">
        <f t="shared" si="6"/>
        <v>3</v>
      </c>
      <c r="AL17" s="45">
        <f t="shared" si="7"/>
        <v>5</v>
      </c>
      <c r="AM17" s="45">
        <f t="shared" si="8"/>
        <v>1</v>
      </c>
      <c r="AN17" s="45">
        <f t="shared" si="9"/>
        <v>0</v>
      </c>
    </row>
    <row r="18" spans="1:40" x14ac:dyDescent="0.25">
      <c r="A18" s="44" t="s">
        <v>30</v>
      </c>
      <c r="B18" s="44" t="s">
        <v>15</v>
      </c>
      <c r="C18" t="s">
        <v>42</v>
      </c>
      <c r="D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M18" t="s">
        <v>41</v>
      </c>
      <c r="N18" t="s">
        <v>45</v>
      </c>
      <c r="O18" t="s">
        <v>45</v>
      </c>
      <c r="P18" t="s">
        <v>45</v>
      </c>
      <c r="Q18" t="s">
        <v>45</v>
      </c>
      <c r="R18" t="s">
        <v>42</v>
      </c>
      <c r="T18" t="s">
        <v>45</v>
      </c>
      <c r="U18" t="s">
        <v>45</v>
      </c>
      <c r="V18" t="s">
        <v>45</v>
      </c>
      <c r="W18" t="s">
        <v>45</v>
      </c>
      <c r="X18" t="s">
        <v>41</v>
      </c>
      <c r="Y18" t="s">
        <v>45</v>
      </c>
      <c r="AA18" t="s">
        <v>45</v>
      </c>
      <c r="AB18" t="s">
        <v>42</v>
      </c>
      <c r="AC18" t="s">
        <v>45</v>
      </c>
      <c r="AD18" t="s">
        <v>45</v>
      </c>
      <c r="AE18" t="s">
        <v>45</v>
      </c>
      <c r="AF18" t="s">
        <v>45</v>
      </c>
      <c r="AH18" s="45">
        <f t="shared" si="3"/>
        <v>31</v>
      </c>
      <c r="AI18" s="45">
        <f t="shared" si="4"/>
        <v>21</v>
      </c>
      <c r="AJ18" s="45">
        <f t="shared" si="5"/>
        <v>2</v>
      </c>
      <c r="AK18" s="45">
        <f t="shared" si="6"/>
        <v>3</v>
      </c>
      <c r="AL18" s="45">
        <f t="shared" si="7"/>
        <v>5</v>
      </c>
      <c r="AM18" s="45">
        <f t="shared" si="8"/>
        <v>0</v>
      </c>
      <c r="AN18" s="45">
        <f t="shared" si="9"/>
        <v>0</v>
      </c>
    </row>
    <row r="19" spans="1:40" x14ac:dyDescent="0.25">
      <c r="A19" s="44" t="s">
        <v>31</v>
      </c>
      <c r="B19" s="44" t="s">
        <v>16</v>
      </c>
      <c r="C19" t="s">
        <v>42</v>
      </c>
      <c r="D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41</v>
      </c>
      <c r="K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42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AA19" t="s">
        <v>45</v>
      </c>
      <c r="AB19" t="s">
        <v>42</v>
      </c>
      <c r="AC19" t="s">
        <v>45</v>
      </c>
      <c r="AD19" t="s">
        <v>45</v>
      </c>
      <c r="AE19" t="s">
        <v>45</v>
      </c>
      <c r="AF19" t="s">
        <v>45</v>
      </c>
      <c r="AH19" s="45">
        <f t="shared" si="3"/>
        <v>31</v>
      </c>
      <c r="AI19" s="45">
        <f t="shared" si="4"/>
        <v>22</v>
      </c>
      <c r="AJ19" s="45">
        <f t="shared" si="5"/>
        <v>1</v>
      </c>
      <c r="AK19" s="45">
        <f t="shared" si="6"/>
        <v>3</v>
      </c>
      <c r="AL19" s="45">
        <f t="shared" si="7"/>
        <v>5</v>
      </c>
      <c r="AM19" s="45">
        <f t="shared" si="8"/>
        <v>0</v>
      </c>
      <c r="AN19" s="45">
        <f t="shared" si="9"/>
        <v>0</v>
      </c>
    </row>
    <row r="20" spans="1:40" x14ac:dyDescent="0.25">
      <c r="A20" s="44" t="s">
        <v>32</v>
      </c>
      <c r="B20" s="44" t="s">
        <v>17</v>
      </c>
      <c r="C20" t="s">
        <v>42</v>
      </c>
      <c r="D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45</v>
      </c>
      <c r="K20" t="s">
        <v>41</v>
      </c>
      <c r="M20" t="s">
        <v>45</v>
      </c>
      <c r="N20" t="s">
        <v>45</v>
      </c>
      <c r="O20" t="s">
        <v>44</v>
      </c>
      <c r="P20" t="s">
        <v>45</v>
      </c>
      <c r="Q20" t="s">
        <v>45</v>
      </c>
      <c r="R20" t="s">
        <v>42</v>
      </c>
      <c r="T20" t="s">
        <v>45</v>
      </c>
      <c r="U20" t="s">
        <v>45</v>
      </c>
      <c r="V20" t="s">
        <v>41</v>
      </c>
      <c r="W20" t="s">
        <v>45</v>
      </c>
      <c r="X20" t="s">
        <v>45</v>
      </c>
      <c r="Y20" t="s">
        <v>45</v>
      </c>
      <c r="AA20" t="s">
        <v>45</v>
      </c>
      <c r="AB20" t="s">
        <v>42</v>
      </c>
      <c r="AC20" t="s">
        <v>45</v>
      </c>
      <c r="AD20" t="s">
        <v>45</v>
      </c>
      <c r="AE20" t="s">
        <v>45</v>
      </c>
      <c r="AF20" t="s">
        <v>43</v>
      </c>
      <c r="AH20" s="45">
        <f t="shared" si="3"/>
        <v>31</v>
      </c>
      <c r="AI20" s="45">
        <f t="shared" si="4"/>
        <v>19</v>
      </c>
      <c r="AJ20" s="45">
        <f t="shared" si="5"/>
        <v>2</v>
      </c>
      <c r="AK20" s="45">
        <f t="shared" si="6"/>
        <v>3</v>
      </c>
      <c r="AL20" s="45">
        <f t="shared" si="7"/>
        <v>5</v>
      </c>
      <c r="AM20" s="45">
        <f t="shared" si="8"/>
        <v>1</v>
      </c>
      <c r="AN20" s="45">
        <f t="shared" si="9"/>
        <v>1</v>
      </c>
    </row>
    <row r="21" spans="1:40" x14ac:dyDescent="0.25">
      <c r="A21" s="44" t="s">
        <v>33</v>
      </c>
      <c r="B21" s="44" t="s">
        <v>18</v>
      </c>
      <c r="C21" t="s">
        <v>42</v>
      </c>
      <c r="D21" t="s">
        <v>45</v>
      </c>
      <c r="F21" t="s">
        <v>45</v>
      </c>
      <c r="G21" t="s">
        <v>45</v>
      </c>
      <c r="H21" t="s">
        <v>41</v>
      </c>
      <c r="I21" t="s">
        <v>45</v>
      </c>
      <c r="J21" t="s">
        <v>45</v>
      </c>
      <c r="K21" t="s">
        <v>45</v>
      </c>
      <c r="M21" t="s">
        <v>45</v>
      </c>
      <c r="N21" t="s">
        <v>45</v>
      </c>
      <c r="O21" t="s">
        <v>45</v>
      </c>
      <c r="P21" t="s">
        <v>45</v>
      </c>
      <c r="Q21" t="s">
        <v>41</v>
      </c>
      <c r="R21" t="s">
        <v>42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43</v>
      </c>
      <c r="AA21" t="s">
        <v>45</v>
      </c>
      <c r="AB21" t="s">
        <v>42</v>
      </c>
      <c r="AC21" t="s">
        <v>45</v>
      </c>
      <c r="AD21" t="s">
        <v>45</v>
      </c>
      <c r="AE21" t="s">
        <v>45</v>
      </c>
      <c r="AF21" t="s">
        <v>45</v>
      </c>
      <c r="AH21" s="45">
        <f t="shared" si="3"/>
        <v>31</v>
      </c>
      <c r="AI21" s="45">
        <f t="shared" si="4"/>
        <v>20</v>
      </c>
      <c r="AJ21" s="45">
        <f t="shared" si="5"/>
        <v>2</v>
      </c>
      <c r="AK21" s="45">
        <f t="shared" si="6"/>
        <v>3</v>
      </c>
      <c r="AL21" s="45">
        <f t="shared" si="7"/>
        <v>5</v>
      </c>
      <c r="AM21" s="45">
        <f t="shared" si="8"/>
        <v>1</v>
      </c>
      <c r="AN21" s="45">
        <f t="shared" si="9"/>
        <v>0</v>
      </c>
    </row>
    <row r="24" spans="1:40" ht="15" customHeight="1" x14ac:dyDescent="0.25"/>
    <row r="27" spans="1:40" ht="15.75" customHeight="1" x14ac:dyDescent="0.25"/>
    <row r="28" spans="1:40" ht="15.75" customHeight="1" x14ac:dyDescent="0.25"/>
    <row r="29" spans="1:40" ht="15.75" customHeight="1" x14ac:dyDescent="0.25"/>
    <row r="30" spans="1:40" ht="26.25" customHeight="1" x14ac:dyDescent="0.25"/>
    <row r="31" spans="1:4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26.25" customHeight="1" x14ac:dyDescent="0.25"/>
    <row r="41" ht="15.75" customHeight="1" x14ac:dyDescent="0.25"/>
    <row r="45" ht="15" customHeight="1" x14ac:dyDescent="0.25"/>
  </sheetData>
  <mergeCells count="42">
    <mergeCell ref="AD5:AD6"/>
    <mergeCell ref="AE5:AE6"/>
    <mergeCell ref="AF5:AF6"/>
    <mergeCell ref="AG5:AG6"/>
    <mergeCell ref="X5:X6"/>
    <mergeCell ref="Y5:Y6"/>
    <mergeCell ref="Z5:Z6"/>
    <mergeCell ref="AA5:AA6"/>
    <mergeCell ref="AB5:AB6"/>
    <mergeCell ref="AC5:AC6"/>
    <mergeCell ref="H5:H6"/>
    <mergeCell ref="I5:I6"/>
    <mergeCell ref="J5:J6"/>
    <mergeCell ref="K5:K6"/>
    <mergeCell ref="W5:W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C1:AG3"/>
    <mergeCell ref="AH1:AN3"/>
    <mergeCell ref="A4:A6"/>
    <mergeCell ref="B4:B6"/>
    <mergeCell ref="AH4:AH6"/>
    <mergeCell ref="AI4:AI6"/>
    <mergeCell ref="AJ4:AJ6"/>
    <mergeCell ref="AK4:AK6"/>
    <mergeCell ref="AL4:AL6"/>
    <mergeCell ref="AM4:AM6"/>
    <mergeCell ref="AN4:AN6"/>
    <mergeCell ref="C5:C6"/>
    <mergeCell ref="D5:D6"/>
    <mergeCell ref="E5:E6"/>
    <mergeCell ref="F5:F6"/>
    <mergeCell ref="G5:G6"/>
  </mergeCells>
  <conditionalFormatting sqref="A4:AN6">
    <cfRule type="notContainsBlanks" dxfId="10" priority="12">
      <formula>LEN(TRIM(A4))&gt;0</formula>
    </cfRule>
  </conditionalFormatting>
  <conditionalFormatting sqref="C4:AG4">
    <cfRule type="timePeriod" dxfId="9" priority="9" timePeriod="today">
      <formula>FLOOR(C4,1)=TODAY()</formula>
    </cfRule>
  </conditionalFormatting>
  <conditionalFormatting sqref="C4:AG21">
    <cfRule type="expression" dxfId="8" priority="11">
      <formula>C$4&lt;&gt;""</formula>
    </cfRule>
  </conditionalFormatting>
  <conditionalFormatting sqref="C5:AG21">
    <cfRule type="expression" dxfId="7" priority="10">
      <formula>C$5="SUN"</formula>
    </cfRule>
  </conditionalFormatting>
  <conditionalFormatting sqref="C7:AG21">
    <cfRule type="containsText" dxfId="6" priority="4" operator="containsText" text="CL">
      <formula>NOT(ISERROR(SEARCH("CL",C7)))</formula>
    </cfRule>
    <cfRule type="containsText" dxfId="5" priority="5" operator="containsText" text="SL">
      <formula>NOT(ISERROR(SEARCH("SL",C7)))</formula>
    </cfRule>
    <cfRule type="containsText" dxfId="4" priority="6" operator="containsText" text="H">
      <formula>NOT(ISERROR(SEARCH("H",C7)))</formula>
    </cfRule>
    <cfRule type="containsText" dxfId="3" priority="7" operator="containsText" text="A">
      <formula>NOT(ISERROR(SEARCH("A",C7)))</formula>
    </cfRule>
    <cfRule type="containsText" dxfId="2" priority="8" operator="containsText" text="P">
      <formula>NOT(ISERROR(SEARCH("P",C7)))</formula>
    </cfRule>
  </conditionalFormatting>
  <conditionalFormatting sqref="C7:AN21">
    <cfRule type="notContainsBlanks" dxfId="1" priority="2">
      <formula>LEN(TRIM(C7))&gt;0</formula>
    </cfRule>
  </conditionalFormatting>
  <dataValidations count="3">
    <dataValidation type="custom" allowBlank="1" showInputMessage="1" showErrorMessage="1" errorTitle="WeekOFF" error="Attendance Entry is not allowed..." sqref="C5:AG21" xr:uid="{1D644D93-4823-4300-9261-38B915C6D8FB}">
      <formula1>C$5&lt;&gt;"SUN"</formula1>
    </dataValidation>
    <dataValidation type="list" allowBlank="1" showInputMessage="1" showErrorMessage="1" sqref="B2" xr:uid="{5EE96315-7D21-4840-8F6B-5E1D14856959}">
      <formula1>"2026,2027,2028"</formula1>
    </dataValidation>
    <dataValidation type="list" allowBlank="1" showInputMessage="1" showErrorMessage="1" sqref="A2" xr:uid="{6A4FE883-2098-41DA-BD58-6A5798ABE7FF}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7E40-EF18-4FB0-A87D-8A24C4F02970}">
  <dimension ref="A1:R19"/>
  <sheetViews>
    <sheetView workbookViewId="0">
      <selection activeCell="J7" sqref="J7"/>
    </sheetView>
  </sheetViews>
  <sheetFormatPr defaultRowHeight="15" x14ac:dyDescent="0.25"/>
  <sheetData>
    <row r="1" spans="1:18" x14ac:dyDescent="0.25">
      <c r="A1" s="46" t="str">
        <f>Attendance_May2026!C1</f>
        <v>Fully Automatic Attendance Sheet - May 2026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 t="str">
        <f>Attendance_May2026!AH1</f>
        <v>D&amp;A pvt ltd.</v>
      </c>
      <c r="Q1" s="47"/>
      <c r="R1" s="47"/>
    </row>
    <row r="2" spans="1:18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  <c r="Q2" s="47"/>
      <c r="R2" s="47"/>
    </row>
    <row r="3" spans="1:18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7"/>
      <c r="Q3" s="47"/>
      <c r="R3" s="47"/>
    </row>
    <row r="4" spans="1:18" ht="75" x14ac:dyDescent="0.25">
      <c r="A4" s="3" t="s">
        <v>2</v>
      </c>
      <c r="B4" s="3" t="s">
        <v>47</v>
      </c>
      <c r="C4" s="3" t="s">
        <v>48</v>
      </c>
      <c r="D4" s="3" t="s">
        <v>49</v>
      </c>
      <c r="E4" s="3" t="s">
        <v>34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</row>
    <row r="5" spans="1:18" x14ac:dyDescent="0.25">
      <c r="A5" s="2" t="s">
        <v>19</v>
      </c>
      <c r="B5" s="2" t="s">
        <v>4</v>
      </c>
      <c r="C5" s="4" t="s">
        <v>63</v>
      </c>
      <c r="D5" s="4">
        <v>30000</v>
      </c>
      <c r="E5" s="8">
        <f>Attendance_May2026!AH7</f>
        <v>31</v>
      </c>
      <c r="F5" s="8">
        <f>Attendance_May2026!AI7</f>
        <v>20</v>
      </c>
      <c r="G5" s="5">
        <f>D5/E5</f>
        <v>967.74193548387098</v>
      </c>
      <c r="H5" s="9">
        <f>G5*F5</f>
        <v>19354.83870967742</v>
      </c>
      <c r="I5" s="5">
        <f>D5*12%</f>
        <v>3600</v>
      </c>
      <c r="J5" s="4" t="s">
        <v>69</v>
      </c>
      <c r="K5" s="4">
        <f>IF(J5="Metro",D5*50%,D5*40%)</f>
        <v>15000</v>
      </c>
      <c r="L5" s="4">
        <v>1000</v>
      </c>
      <c r="M5" s="6">
        <v>10</v>
      </c>
      <c r="N5" s="5">
        <f>G5/8*M5</f>
        <v>1209.6774193548388</v>
      </c>
      <c r="O5" s="5">
        <f>H5+I5+K5+L5+N5</f>
        <v>40164.516129032265</v>
      </c>
      <c r="P5" s="5">
        <f>D5*12%</f>
        <v>3600</v>
      </c>
      <c r="Q5" s="7" t="str">
        <f t="shared" ref="Q5:Q19" si="0">IF(O5&lt;=21000,O5*0.75%,"N/A")</f>
        <v>N/A</v>
      </c>
      <c r="R5" s="5">
        <f>IF(ISNUMBER(Q5),O5-P5-Q5,O5-P5)</f>
        <v>36564.516129032265</v>
      </c>
    </row>
    <row r="6" spans="1:18" x14ac:dyDescent="0.25">
      <c r="A6" s="2" t="s">
        <v>20</v>
      </c>
      <c r="B6" s="2" t="s">
        <v>5</v>
      </c>
      <c r="C6" s="4" t="s">
        <v>64</v>
      </c>
      <c r="D6" s="4">
        <v>25000</v>
      </c>
      <c r="E6" s="8">
        <f>Attendance_May2026!AH8</f>
        <v>31</v>
      </c>
      <c r="F6" s="8">
        <f>Attendance_May2026!AI8</f>
        <v>22</v>
      </c>
      <c r="G6" s="5">
        <f t="shared" ref="G6:G19" si="1">D6/E6</f>
        <v>806.45161290322585</v>
      </c>
      <c r="H6" s="9">
        <f t="shared" ref="H6:H19" si="2">G6*F6</f>
        <v>17741.93548387097</v>
      </c>
      <c r="I6" s="5">
        <f t="shared" ref="I6:I19" si="3">D6*12%</f>
        <v>3000</v>
      </c>
      <c r="J6" s="4" t="s">
        <v>70</v>
      </c>
      <c r="K6" s="4">
        <f t="shared" ref="K6:K19" si="4">IF(J6="Metro",D6*50%,D6*40%)</f>
        <v>10000</v>
      </c>
      <c r="L6" s="4">
        <v>2000</v>
      </c>
      <c r="M6" s="6">
        <v>15</v>
      </c>
      <c r="N6" s="5">
        <f t="shared" ref="N6:N19" si="5">G6/8*M6</f>
        <v>1512.0967741935485</v>
      </c>
      <c r="O6" s="5">
        <f t="shared" ref="O6:O19" si="6">H6+I6+K6+L6+N6</f>
        <v>34254.032258064515</v>
      </c>
      <c r="P6" s="5">
        <f t="shared" ref="P6:P19" si="7">D6*12%</f>
        <v>3000</v>
      </c>
      <c r="Q6" s="7" t="str">
        <f t="shared" si="0"/>
        <v>N/A</v>
      </c>
      <c r="R6" s="5">
        <f t="shared" ref="R6:R19" si="8">IF(ISNUMBER(Q6),O6-P6-Q6,O6-P6)</f>
        <v>31254.032258064515</v>
      </c>
    </row>
    <row r="7" spans="1:18" x14ac:dyDescent="0.25">
      <c r="A7" s="2" t="s">
        <v>21</v>
      </c>
      <c r="B7" s="2" t="s">
        <v>6</v>
      </c>
      <c r="C7" s="4" t="s">
        <v>65</v>
      </c>
      <c r="D7" s="4">
        <v>18000</v>
      </c>
      <c r="E7" s="8">
        <f>Attendance_May2026!AH9</f>
        <v>31</v>
      </c>
      <c r="F7" s="8">
        <f>Attendance_May2026!AI9</f>
        <v>19</v>
      </c>
      <c r="G7" s="5">
        <f t="shared" si="1"/>
        <v>580.64516129032256</v>
      </c>
      <c r="H7" s="9">
        <f t="shared" si="2"/>
        <v>11032.258064516129</v>
      </c>
      <c r="I7" s="5">
        <f t="shared" si="3"/>
        <v>2160</v>
      </c>
      <c r="J7" s="4" t="s">
        <v>69</v>
      </c>
      <c r="K7" s="4">
        <f t="shared" si="4"/>
        <v>9000</v>
      </c>
      <c r="L7" s="4">
        <v>1000</v>
      </c>
      <c r="M7" s="6">
        <v>20</v>
      </c>
      <c r="N7" s="5">
        <f t="shared" si="5"/>
        <v>1451.6129032258063</v>
      </c>
      <c r="O7" s="5">
        <f t="shared" si="6"/>
        <v>24643.870967741936</v>
      </c>
      <c r="P7" s="5">
        <f t="shared" si="7"/>
        <v>2160</v>
      </c>
      <c r="Q7" s="7" t="str">
        <f t="shared" si="0"/>
        <v>N/A</v>
      </c>
      <c r="R7" s="5">
        <f t="shared" si="8"/>
        <v>22483.870967741936</v>
      </c>
    </row>
    <row r="8" spans="1:18" x14ac:dyDescent="0.25">
      <c r="A8" s="2" t="s">
        <v>22</v>
      </c>
      <c r="B8" s="2" t="s">
        <v>7</v>
      </c>
      <c r="C8" s="4" t="s">
        <v>66</v>
      </c>
      <c r="D8" s="4">
        <v>15000</v>
      </c>
      <c r="E8" s="8">
        <f>Attendance_May2026!AH10</f>
        <v>31</v>
      </c>
      <c r="F8" s="8">
        <f>Attendance_May2026!AI10</f>
        <v>20</v>
      </c>
      <c r="G8" s="5">
        <f t="shared" si="1"/>
        <v>483.87096774193549</v>
      </c>
      <c r="H8" s="9">
        <f t="shared" si="2"/>
        <v>9677.4193548387102</v>
      </c>
      <c r="I8" s="5">
        <f t="shared" si="3"/>
        <v>1800</v>
      </c>
      <c r="J8" s="4" t="s">
        <v>69</v>
      </c>
      <c r="K8" s="4">
        <f t="shared" si="4"/>
        <v>7500</v>
      </c>
      <c r="L8" s="4">
        <v>3000</v>
      </c>
      <c r="M8" s="6">
        <v>25</v>
      </c>
      <c r="N8" s="5">
        <f t="shared" si="5"/>
        <v>1512.0967741935483</v>
      </c>
      <c r="O8" s="5">
        <f t="shared" si="6"/>
        <v>23489.516129032261</v>
      </c>
      <c r="P8" s="5">
        <f t="shared" si="7"/>
        <v>1800</v>
      </c>
      <c r="Q8" s="7" t="str">
        <f t="shared" si="0"/>
        <v>N/A</v>
      </c>
      <c r="R8" s="5">
        <f t="shared" si="8"/>
        <v>21689.516129032261</v>
      </c>
    </row>
    <row r="9" spans="1:18" x14ac:dyDescent="0.25">
      <c r="A9" s="2" t="s">
        <v>23</v>
      </c>
      <c r="B9" s="2" t="s">
        <v>8</v>
      </c>
      <c r="C9" s="4" t="s">
        <v>66</v>
      </c>
      <c r="D9" s="4">
        <v>15000</v>
      </c>
      <c r="E9" s="8">
        <f>Attendance_May2026!AH11</f>
        <v>31</v>
      </c>
      <c r="F9" s="8">
        <f>Attendance_May2026!AI11</f>
        <v>20</v>
      </c>
      <c r="G9" s="5">
        <f t="shared" si="1"/>
        <v>483.87096774193549</v>
      </c>
      <c r="H9" s="9">
        <f t="shared" si="2"/>
        <v>9677.4193548387102</v>
      </c>
      <c r="I9" s="5">
        <f t="shared" si="3"/>
        <v>1800</v>
      </c>
      <c r="J9" s="4" t="s">
        <v>70</v>
      </c>
      <c r="K9" s="4">
        <f t="shared" si="4"/>
        <v>6000</v>
      </c>
      <c r="L9" s="4">
        <v>2000</v>
      </c>
      <c r="M9" s="6">
        <v>20</v>
      </c>
      <c r="N9" s="5">
        <f t="shared" si="5"/>
        <v>1209.6774193548388</v>
      </c>
      <c r="O9" s="5">
        <f t="shared" si="6"/>
        <v>20687.096774193549</v>
      </c>
      <c r="P9" s="5">
        <f t="shared" si="7"/>
        <v>1800</v>
      </c>
      <c r="Q9" s="7">
        <f t="shared" si="0"/>
        <v>155.15322580645162</v>
      </c>
      <c r="R9" s="5">
        <f t="shared" si="8"/>
        <v>18731.943548387098</v>
      </c>
    </row>
    <row r="10" spans="1:18" x14ac:dyDescent="0.25">
      <c r="A10" s="2" t="s">
        <v>24</v>
      </c>
      <c r="B10" s="2" t="s">
        <v>9</v>
      </c>
      <c r="C10" s="4" t="s">
        <v>66</v>
      </c>
      <c r="D10" s="4">
        <v>15000</v>
      </c>
      <c r="E10" s="8">
        <f>Attendance_May2026!AH12</f>
        <v>31</v>
      </c>
      <c r="F10" s="8">
        <f>Attendance_May2026!AI12</f>
        <v>21</v>
      </c>
      <c r="G10" s="5">
        <f t="shared" si="1"/>
        <v>483.87096774193549</v>
      </c>
      <c r="H10" s="9">
        <f t="shared" si="2"/>
        <v>10161.290322580646</v>
      </c>
      <c r="I10" s="5">
        <f t="shared" si="3"/>
        <v>1800</v>
      </c>
      <c r="J10" s="4" t="s">
        <v>70</v>
      </c>
      <c r="K10" s="4">
        <f t="shared" si="4"/>
        <v>6000</v>
      </c>
      <c r="L10" s="4">
        <v>1000</v>
      </c>
      <c r="M10" s="6">
        <v>12</v>
      </c>
      <c r="N10" s="5">
        <f t="shared" si="5"/>
        <v>725.80645161290317</v>
      </c>
      <c r="O10" s="5">
        <f t="shared" si="6"/>
        <v>19687.096774193546</v>
      </c>
      <c r="P10" s="5">
        <f t="shared" si="7"/>
        <v>1800</v>
      </c>
      <c r="Q10" s="7">
        <f t="shared" si="0"/>
        <v>147.65322580645159</v>
      </c>
      <c r="R10" s="5">
        <f t="shared" si="8"/>
        <v>17739.443548387095</v>
      </c>
    </row>
    <row r="11" spans="1:18" x14ac:dyDescent="0.25">
      <c r="A11" s="2" t="s">
        <v>25</v>
      </c>
      <c r="B11" s="2" t="s">
        <v>10</v>
      </c>
      <c r="C11" s="4" t="s">
        <v>67</v>
      </c>
      <c r="D11" s="4">
        <v>12000</v>
      </c>
      <c r="E11" s="8">
        <f>Attendance_May2026!AH13</f>
        <v>31</v>
      </c>
      <c r="F11" s="8">
        <f>Attendance_May2026!AI13</f>
        <v>21</v>
      </c>
      <c r="G11" s="5">
        <f t="shared" si="1"/>
        <v>387.09677419354841</v>
      </c>
      <c r="H11" s="9">
        <f t="shared" si="2"/>
        <v>8129.032258064517</v>
      </c>
      <c r="I11" s="5">
        <f t="shared" si="3"/>
        <v>1440</v>
      </c>
      <c r="J11" s="4" t="s">
        <v>69</v>
      </c>
      <c r="K11" s="4">
        <f t="shared" si="4"/>
        <v>6000</v>
      </c>
      <c r="L11" s="4">
        <v>3000</v>
      </c>
      <c r="M11" s="6">
        <v>15</v>
      </c>
      <c r="N11" s="5">
        <f t="shared" si="5"/>
        <v>725.80645161290329</v>
      </c>
      <c r="O11" s="5">
        <f t="shared" si="6"/>
        <v>19294.838709677417</v>
      </c>
      <c r="P11" s="5">
        <f t="shared" si="7"/>
        <v>1440</v>
      </c>
      <c r="Q11" s="7">
        <f t="shared" si="0"/>
        <v>144.71129032258062</v>
      </c>
      <c r="R11" s="5">
        <f t="shared" si="8"/>
        <v>17710.127419354838</v>
      </c>
    </row>
    <row r="12" spans="1:18" x14ac:dyDescent="0.25">
      <c r="A12" s="2" t="s">
        <v>26</v>
      </c>
      <c r="B12" s="2" t="s">
        <v>11</v>
      </c>
      <c r="C12" s="4" t="s">
        <v>67</v>
      </c>
      <c r="D12" s="4">
        <v>12000</v>
      </c>
      <c r="E12" s="8">
        <f>Attendance_May2026!AH14</f>
        <v>31</v>
      </c>
      <c r="F12" s="8">
        <f>Attendance_May2026!AI14</f>
        <v>20</v>
      </c>
      <c r="G12" s="5">
        <f t="shared" si="1"/>
        <v>387.09677419354841</v>
      </c>
      <c r="H12" s="9">
        <f t="shared" si="2"/>
        <v>7741.9354838709678</v>
      </c>
      <c r="I12" s="5">
        <f t="shared" si="3"/>
        <v>1440</v>
      </c>
      <c r="J12" s="4" t="s">
        <v>70</v>
      </c>
      <c r="K12" s="4">
        <f t="shared" si="4"/>
        <v>4800</v>
      </c>
      <c r="L12" s="4">
        <v>2000</v>
      </c>
      <c r="M12" s="6">
        <v>25</v>
      </c>
      <c r="N12" s="5">
        <f t="shared" si="5"/>
        <v>1209.6774193548388</v>
      </c>
      <c r="O12" s="5">
        <f t="shared" si="6"/>
        <v>17191.612903225807</v>
      </c>
      <c r="P12" s="5">
        <f t="shared" si="7"/>
        <v>1440</v>
      </c>
      <c r="Q12" s="7">
        <f t="shared" si="0"/>
        <v>128.93709677419355</v>
      </c>
      <c r="R12" s="5">
        <f t="shared" si="8"/>
        <v>15622.675806451613</v>
      </c>
    </row>
    <row r="13" spans="1:18" x14ac:dyDescent="0.25">
      <c r="A13" s="2" t="s">
        <v>27</v>
      </c>
      <c r="B13" s="2" t="s">
        <v>12</v>
      </c>
      <c r="C13" s="4" t="s">
        <v>67</v>
      </c>
      <c r="D13" s="4">
        <v>12000</v>
      </c>
      <c r="E13" s="8">
        <f>Attendance_May2026!AH15</f>
        <v>31</v>
      </c>
      <c r="F13" s="8">
        <f>Attendance_May2026!AI15</f>
        <v>21</v>
      </c>
      <c r="G13" s="5">
        <f t="shared" si="1"/>
        <v>387.09677419354841</v>
      </c>
      <c r="H13" s="9">
        <f t="shared" si="2"/>
        <v>8129.032258064517</v>
      </c>
      <c r="I13" s="5">
        <f t="shared" si="3"/>
        <v>1440</v>
      </c>
      <c r="J13" s="4" t="s">
        <v>69</v>
      </c>
      <c r="K13" s="4">
        <f t="shared" si="4"/>
        <v>6000</v>
      </c>
      <c r="L13" s="4">
        <v>1000</v>
      </c>
      <c r="M13" s="6">
        <v>20</v>
      </c>
      <c r="N13" s="5">
        <f t="shared" si="5"/>
        <v>967.74193548387098</v>
      </c>
      <c r="O13" s="5">
        <f t="shared" si="6"/>
        <v>17536.774193548386</v>
      </c>
      <c r="P13" s="5">
        <f t="shared" si="7"/>
        <v>1440</v>
      </c>
      <c r="Q13" s="7">
        <f t="shared" si="0"/>
        <v>131.52580645161288</v>
      </c>
      <c r="R13" s="5">
        <f t="shared" si="8"/>
        <v>15965.248387096774</v>
      </c>
    </row>
    <row r="14" spans="1:18" x14ac:dyDescent="0.25">
      <c r="A14" s="2" t="s">
        <v>28</v>
      </c>
      <c r="B14" s="2" t="s">
        <v>13</v>
      </c>
      <c r="C14" s="4" t="s">
        <v>67</v>
      </c>
      <c r="D14" s="4">
        <v>12000</v>
      </c>
      <c r="E14" s="8">
        <f>Attendance_May2026!AH16</f>
        <v>31</v>
      </c>
      <c r="F14" s="8">
        <f>Attendance_May2026!AI16</f>
        <v>21</v>
      </c>
      <c r="G14" s="5">
        <f t="shared" si="1"/>
        <v>387.09677419354841</v>
      </c>
      <c r="H14" s="9">
        <f t="shared" si="2"/>
        <v>8129.032258064517</v>
      </c>
      <c r="I14" s="5">
        <f t="shared" si="3"/>
        <v>1440</v>
      </c>
      <c r="J14" s="4" t="s">
        <v>69</v>
      </c>
      <c r="K14" s="4">
        <f t="shared" si="4"/>
        <v>6000</v>
      </c>
      <c r="L14" s="4">
        <v>1000</v>
      </c>
      <c r="M14" s="6">
        <v>10</v>
      </c>
      <c r="N14" s="5">
        <f t="shared" si="5"/>
        <v>483.87096774193549</v>
      </c>
      <c r="O14" s="5">
        <f t="shared" si="6"/>
        <v>17052.903225806451</v>
      </c>
      <c r="P14" s="5">
        <f t="shared" si="7"/>
        <v>1440</v>
      </c>
      <c r="Q14" s="7">
        <f t="shared" si="0"/>
        <v>127.89677419354838</v>
      </c>
      <c r="R14" s="5">
        <f t="shared" si="8"/>
        <v>15485.006451612902</v>
      </c>
    </row>
    <row r="15" spans="1:18" x14ac:dyDescent="0.25">
      <c r="A15" s="2" t="s">
        <v>29</v>
      </c>
      <c r="B15" s="2" t="s">
        <v>14</v>
      </c>
      <c r="C15" s="4" t="s">
        <v>68</v>
      </c>
      <c r="D15" s="4">
        <v>10000</v>
      </c>
      <c r="E15" s="8">
        <f>Attendance_May2026!AH17</f>
        <v>31</v>
      </c>
      <c r="F15" s="8">
        <f>Attendance_May2026!AI17</f>
        <v>21</v>
      </c>
      <c r="G15" s="5">
        <f t="shared" si="1"/>
        <v>322.58064516129031</v>
      </c>
      <c r="H15" s="9">
        <f t="shared" si="2"/>
        <v>6774.1935483870966</v>
      </c>
      <c r="I15" s="5">
        <f t="shared" si="3"/>
        <v>1200</v>
      </c>
      <c r="J15" s="4" t="s">
        <v>69</v>
      </c>
      <c r="K15" s="4">
        <f t="shared" si="4"/>
        <v>5000</v>
      </c>
      <c r="L15" s="4">
        <v>2000</v>
      </c>
      <c r="M15" s="6">
        <v>22</v>
      </c>
      <c r="N15" s="5">
        <f t="shared" si="5"/>
        <v>887.0967741935483</v>
      </c>
      <c r="O15" s="5">
        <f t="shared" si="6"/>
        <v>15861.290322580644</v>
      </c>
      <c r="P15" s="5">
        <f t="shared" si="7"/>
        <v>1200</v>
      </c>
      <c r="Q15" s="7">
        <f t="shared" si="0"/>
        <v>118.95967741935482</v>
      </c>
      <c r="R15" s="5">
        <f t="shared" si="8"/>
        <v>14542.33064516129</v>
      </c>
    </row>
    <row r="16" spans="1:18" x14ac:dyDescent="0.25">
      <c r="A16" s="2" t="s">
        <v>30</v>
      </c>
      <c r="B16" s="2" t="s">
        <v>15</v>
      </c>
      <c r="C16" s="4" t="s">
        <v>68</v>
      </c>
      <c r="D16" s="4">
        <v>10000</v>
      </c>
      <c r="E16" s="8">
        <f>Attendance_May2026!AH18</f>
        <v>31</v>
      </c>
      <c r="F16" s="8">
        <f>Attendance_May2026!AI18</f>
        <v>21</v>
      </c>
      <c r="G16" s="5">
        <f t="shared" si="1"/>
        <v>322.58064516129031</v>
      </c>
      <c r="H16" s="9">
        <f t="shared" si="2"/>
        <v>6774.1935483870966</v>
      </c>
      <c r="I16" s="5">
        <f t="shared" si="3"/>
        <v>1200</v>
      </c>
      <c r="J16" s="4" t="s">
        <v>70</v>
      </c>
      <c r="K16" s="4">
        <f t="shared" si="4"/>
        <v>4000</v>
      </c>
      <c r="L16" s="4">
        <v>2000</v>
      </c>
      <c r="M16" s="6">
        <v>23</v>
      </c>
      <c r="N16" s="5">
        <f t="shared" si="5"/>
        <v>927.41935483870964</v>
      </c>
      <c r="O16" s="5">
        <f t="shared" si="6"/>
        <v>14901.612903225807</v>
      </c>
      <c r="P16" s="5">
        <f t="shared" si="7"/>
        <v>1200</v>
      </c>
      <c r="Q16" s="7">
        <f t="shared" si="0"/>
        <v>111.76209677419355</v>
      </c>
      <c r="R16" s="5">
        <f t="shared" si="8"/>
        <v>13589.850806451614</v>
      </c>
    </row>
    <row r="17" spans="1:18" x14ac:dyDescent="0.25">
      <c r="A17" s="2" t="s">
        <v>31</v>
      </c>
      <c r="B17" s="2" t="s">
        <v>16</v>
      </c>
      <c r="C17" s="4" t="s">
        <v>68</v>
      </c>
      <c r="D17" s="4">
        <v>10000</v>
      </c>
      <c r="E17" s="8">
        <f>Attendance_May2026!AH19</f>
        <v>31</v>
      </c>
      <c r="F17" s="8">
        <f>Attendance_May2026!AI19</f>
        <v>22</v>
      </c>
      <c r="G17" s="5">
        <f t="shared" si="1"/>
        <v>322.58064516129031</v>
      </c>
      <c r="H17" s="9">
        <f t="shared" si="2"/>
        <v>7096.7741935483864</v>
      </c>
      <c r="I17" s="5">
        <f t="shared" si="3"/>
        <v>1200</v>
      </c>
      <c r="J17" s="4" t="s">
        <v>69</v>
      </c>
      <c r="K17" s="4">
        <f t="shared" si="4"/>
        <v>5000</v>
      </c>
      <c r="L17" s="4">
        <v>3000</v>
      </c>
      <c r="M17" s="6">
        <v>15</v>
      </c>
      <c r="N17" s="5">
        <f t="shared" si="5"/>
        <v>604.83870967741927</v>
      </c>
      <c r="O17" s="5">
        <f t="shared" si="6"/>
        <v>16901.612903225807</v>
      </c>
      <c r="P17" s="5">
        <f t="shared" si="7"/>
        <v>1200</v>
      </c>
      <c r="Q17" s="7">
        <f t="shared" si="0"/>
        <v>126.76209677419355</v>
      </c>
      <c r="R17" s="5">
        <f t="shared" si="8"/>
        <v>15574.850806451614</v>
      </c>
    </row>
    <row r="18" spans="1:18" x14ac:dyDescent="0.25">
      <c r="A18" s="2" t="s">
        <v>32</v>
      </c>
      <c r="B18" s="2" t="s">
        <v>17</v>
      </c>
      <c r="C18" s="4" t="s">
        <v>67</v>
      </c>
      <c r="D18" s="4">
        <v>12000</v>
      </c>
      <c r="E18" s="8">
        <f>Attendance_May2026!AH20</f>
        <v>31</v>
      </c>
      <c r="F18" s="8">
        <f>Attendance_May2026!AI20</f>
        <v>19</v>
      </c>
      <c r="G18" s="5">
        <f t="shared" si="1"/>
        <v>387.09677419354841</v>
      </c>
      <c r="H18" s="9">
        <f t="shared" si="2"/>
        <v>7354.8387096774195</v>
      </c>
      <c r="I18" s="5">
        <f t="shared" si="3"/>
        <v>1440</v>
      </c>
      <c r="J18" s="4" t="s">
        <v>70</v>
      </c>
      <c r="K18" s="4">
        <f t="shared" si="4"/>
        <v>4800</v>
      </c>
      <c r="L18" s="4">
        <v>1000</v>
      </c>
      <c r="M18" s="6">
        <v>20</v>
      </c>
      <c r="N18" s="5">
        <f t="shared" si="5"/>
        <v>967.74193548387098</v>
      </c>
      <c r="O18" s="5">
        <f t="shared" si="6"/>
        <v>15562.580645161292</v>
      </c>
      <c r="P18" s="5">
        <f t="shared" si="7"/>
        <v>1440</v>
      </c>
      <c r="Q18" s="7">
        <f t="shared" si="0"/>
        <v>116.71935483870968</v>
      </c>
      <c r="R18" s="5">
        <f t="shared" si="8"/>
        <v>14005.861290322582</v>
      </c>
    </row>
    <row r="19" spans="1:18" x14ac:dyDescent="0.25">
      <c r="A19" s="2" t="s">
        <v>33</v>
      </c>
      <c r="B19" s="2" t="s">
        <v>18</v>
      </c>
      <c r="C19" s="4" t="s">
        <v>66</v>
      </c>
      <c r="D19" s="4">
        <v>15000</v>
      </c>
      <c r="E19" s="8">
        <f>Attendance_May2026!AH21</f>
        <v>31</v>
      </c>
      <c r="F19" s="8">
        <f>Attendance_May2026!AI21</f>
        <v>20</v>
      </c>
      <c r="G19" s="5">
        <f t="shared" si="1"/>
        <v>483.87096774193549</v>
      </c>
      <c r="H19" s="9">
        <f t="shared" si="2"/>
        <v>9677.4193548387102</v>
      </c>
      <c r="I19" s="5">
        <f t="shared" si="3"/>
        <v>1800</v>
      </c>
      <c r="J19" s="4" t="s">
        <v>69</v>
      </c>
      <c r="K19" s="4">
        <f t="shared" si="4"/>
        <v>7500</v>
      </c>
      <c r="L19" s="4">
        <v>1000</v>
      </c>
      <c r="M19" s="6">
        <v>25</v>
      </c>
      <c r="N19" s="5">
        <f t="shared" si="5"/>
        <v>1512.0967741935483</v>
      </c>
      <c r="O19" s="5">
        <f t="shared" si="6"/>
        <v>21489.516129032261</v>
      </c>
      <c r="P19" s="5">
        <f t="shared" si="7"/>
        <v>1800</v>
      </c>
      <c r="Q19" s="7" t="str">
        <f t="shared" si="0"/>
        <v>N/A</v>
      </c>
      <c r="R19" s="5">
        <f t="shared" si="8"/>
        <v>19689.516129032261</v>
      </c>
    </row>
  </sheetData>
  <mergeCells count="2">
    <mergeCell ref="A1:O3"/>
    <mergeCell ref="P1:R3"/>
  </mergeCells>
  <conditionalFormatting sqref="B5:B19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65F6-D671-4322-8F71-DB294F87A379}">
  <dimension ref="A1:D23"/>
  <sheetViews>
    <sheetView showGridLines="0" tabSelected="1" zoomScale="80" zoomScaleNormal="80" workbookViewId="0">
      <selection activeCell="B6" sqref="B6"/>
    </sheetView>
  </sheetViews>
  <sheetFormatPr defaultRowHeight="15" x14ac:dyDescent="0.25"/>
  <cols>
    <col min="1" max="1" width="33" customWidth="1"/>
    <col min="2" max="2" width="21" customWidth="1"/>
    <col min="3" max="3" width="29.28515625" bestFit="1" customWidth="1"/>
    <col min="4" max="4" width="13.85546875" bestFit="1" customWidth="1"/>
  </cols>
  <sheetData>
    <row r="1" spans="1:4" ht="23.25" x14ac:dyDescent="0.25">
      <c r="A1" s="54" t="str">
        <f>Attendance_May2026!AH1</f>
        <v>D&amp;A pvt ltd.</v>
      </c>
      <c r="B1" s="55"/>
      <c r="C1" s="55"/>
      <c r="D1" s="56"/>
    </row>
    <row r="2" spans="1:4" ht="18.75" x14ac:dyDescent="0.25">
      <c r="A2" s="57" t="s">
        <v>82</v>
      </c>
      <c r="B2" s="58"/>
      <c r="C2" s="58"/>
      <c r="D2" s="59"/>
    </row>
    <row r="3" spans="1:4" ht="18.75" x14ac:dyDescent="0.25">
      <c r="A3" s="57" t="s">
        <v>83</v>
      </c>
      <c r="B3" s="58"/>
      <c r="C3" s="58"/>
      <c r="D3" s="23" t="str">
        <f>Attendance_May2026!A2</f>
        <v>May</v>
      </c>
    </row>
    <row r="4" spans="1:4" ht="19.5" thickBot="1" x14ac:dyDescent="0.35">
      <c r="A4" s="60">
        <f>Attendance_May2026!B2</f>
        <v>2026</v>
      </c>
      <c r="B4" s="61"/>
      <c r="C4" s="61"/>
      <c r="D4" s="62"/>
    </row>
    <row r="5" spans="1:4" ht="19.5" thickBot="1" x14ac:dyDescent="0.3">
      <c r="A5" s="63" t="s">
        <v>71</v>
      </c>
      <c r="B5" s="64"/>
      <c r="C5" s="24" t="s">
        <v>72</v>
      </c>
      <c r="D5" s="25"/>
    </row>
    <row r="6" spans="1:4" ht="15.75" x14ac:dyDescent="0.25">
      <c r="A6" s="21" t="s">
        <v>2</v>
      </c>
      <c r="B6" s="34" t="s">
        <v>21</v>
      </c>
      <c r="C6" s="10" t="s">
        <v>34</v>
      </c>
      <c r="D6" s="33">
        <f>VLOOKUP($B$6,Salary_Sheet!$A$1:$R$19,MATCH(Salary_Slip!$C6,Salary_Sheet!$A$4:$R$4,0),FALSE)</f>
        <v>31</v>
      </c>
    </row>
    <row r="7" spans="1:4" ht="15.75" x14ac:dyDescent="0.25">
      <c r="A7" s="21" t="s">
        <v>3</v>
      </c>
      <c r="B7" s="31" t="str">
        <f>VLOOKUP($B$6,Salary_Sheet!$A$1:$R$19,MATCH(Salary_Slip!$A$7,Salary_Sheet!$A$4:$R$4,0),FALSE)</f>
        <v>Ishaan Kapoor</v>
      </c>
      <c r="C7" s="10" t="s">
        <v>50</v>
      </c>
      <c r="D7" s="33">
        <f>VLOOKUP($B$6,Salary_Sheet!$A$1:$R$19,MATCH(Salary_Slip!$C7,Salary_Sheet!$A$4:$R$4,0),FALSE)</f>
        <v>19</v>
      </c>
    </row>
    <row r="8" spans="1:4" ht="15.75" x14ac:dyDescent="0.25">
      <c r="A8" s="21" t="s">
        <v>48</v>
      </c>
      <c r="B8" s="31" t="str">
        <f>VLOOKUP($B$6,Salary_Sheet!$A$1:$R$19,MATCH(Salary_Slip!A$8,Salary_Sheet!$A$4:$R$4,0),FALSE)</f>
        <v>Supervisor</v>
      </c>
      <c r="C8" s="10" t="s">
        <v>73</v>
      </c>
      <c r="D8" s="32">
        <f ca="1">TODAY()</f>
        <v>46181</v>
      </c>
    </row>
    <row r="9" spans="1:4" ht="16.5" thickBot="1" x14ac:dyDescent="0.3">
      <c r="A9" s="21"/>
      <c r="B9" s="12"/>
      <c r="C9" s="10"/>
      <c r="D9" s="22"/>
    </row>
    <row r="10" spans="1:4" ht="27" thickBot="1" x14ac:dyDescent="0.3">
      <c r="A10" s="26" t="s">
        <v>49</v>
      </c>
      <c r="B10" s="27"/>
      <c r="C10" s="65">
        <f>VLOOKUP($B6,Salary_Sheet!$A1:$R19,MATCH(Salary_Slip!$A10,Salary_Sheet!$A4:$R4,0),FALSE)</f>
        <v>18000</v>
      </c>
      <c r="D10" s="66" t="e">
        <f t="shared" ref="D10" si="0">VLOOKUP($BJ$6,$AP$1:$BG$19,MATCH(C10,$AP$4:$BG$4,0),FALSE)</f>
        <v>#N/A</v>
      </c>
    </row>
    <row r="11" spans="1:4" ht="16.5" thickBot="1" x14ac:dyDescent="0.3">
      <c r="A11" s="17"/>
      <c r="B11" s="13"/>
      <c r="C11" s="13"/>
      <c r="D11" s="18"/>
    </row>
    <row r="12" spans="1:4" ht="19.5" thickBot="1" x14ac:dyDescent="0.3">
      <c r="A12" s="26" t="s">
        <v>74</v>
      </c>
      <c r="B12" s="27"/>
      <c r="C12" s="24" t="s">
        <v>75</v>
      </c>
      <c r="D12" s="25"/>
    </row>
    <row r="13" spans="1:4" ht="15.75" x14ac:dyDescent="0.25">
      <c r="A13" s="21" t="s">
        <v>52</v>
      </c>
      <c r="B13" s="40">
        <f>VLOOKUP($B$6,Salary_Sheet!$A$1:$R$19,MATCH(Salary_Slip!$A$13,Salary_Sheet!$A$4:$R$4,0),FALSE)</f>
        <v>11032.258064516129</v>
      </c>
      <c r="C13" s="10" t="s">
        <v>60</v>
      </c>
      <c r="D13" s="41">
        <f>VLOOKUP($B$6,Salary_Sheet!$A$1:$R$19,MATCH(Salary_Slip!$C13,Salary_Sheet!$A$4:$R$4,0),FALSE)</f>
        <v>2160</v>
      </c>
    </row>
    <row r="14" spans="1:4" ht="15.75" x14ac:dyDescent="0.25">
      <c r="A14" s="21" t="s">
        <v>53</v>
      </c>
      <c r="B14" s="31">
        <f>VLOOKUP($B$6,Salary_Sheet!A1:R19,MATCH(Salary_Slip!$A$14,Salary_Sheet!$A$4:$R$4,0),FALSE)</f>
        <v>2160</v>
      </c>
      <c r="C14" s="10" t="s">
        <v>61</v>
      </c>
      <c r="D14" s="41" t="str">
        <f>VLOOKUP($B$6,Salary_Sheet!$A$1:$R$19,MATCH(Salary_Slip!$C14,Salary_Sheet!$A$4:$R$4,0),FALSE)</f>
        <v>N/A</v>
      </c>
    </row>
    <row r="15" spans="1:4" ht="15.75" x14ac:dyDescent="0.25">
      <c r="A15" s="21" t="s">
        <v>55</v>
      </c>
      <c r="B15" s="40">
        <f>VLOOKUP($B$6,Salary_Sheet!$A$1:$R$19,MATCH(Salary_Slip!$A$15,Salary_Sheet!$A$4:$R$4,0),FALSE)</f>
        <v>9000</v>
      </c>
      <c r="C15" s="10" t="s">
        <v>76</v>
      </c>
      <c r="D15" s="35">
        <f>IFERROR(VLOOKUP($BJ$6,$AP$1:$BG$19,MATCH($BK$15,$AP$4:$BG$4,0),FALSE),0)</f>
        <v>0</v>
      </c>
    </row>
    <row r="16" spans="1:4" ht="15.75" x14ac:dyDescent="0.25">
      <c r="A16" s="21" t="s">
        <v>56</v>
      </c>
      <c r="B16" s="40">
        <f>VLOOKUP($B$6,Salary_Sheet!$A$1:$R$19,MATCH(Salary_Slip!$A16,Salary_Sheet!$A$4:$R$4,0),FALSE)</f>
        <v>1000</v>
      </c>
      <c r="C16" s="10" t="s">
        <v>77</v>
      </c>
      <c r="D16" s="35">
        <f>IFERROR(VLOOKUP($BJ$6,$AP$1:$BG$19,MATCH($BK$16,$AP$4:$BG$4,0),FALSE),0)</f>
        <v>0</v>
      </c>
    </row>
    <row r="17" spans="1:4" ht="15.75" x14ac:dyDescent="0.25">
      <c r="A17" s="21" t="s">
        <v>58</v>
      </c>
      <c r="B17" s="40">
        <f>VLOOKUP($B$6,Salary_Sheet!$A$1:$R$19,MATCH(Salary_Slip!$A17,Salary_Sheet!$A$4:$R$4,0),FALSE)</f>
        <v>1451.6129032258063</v>
      </c>
      <c r="C17" s="11"/>
      <c r="D17" s="36"/>
    </row>
    <row r="18" spans="1:4" ht="15.75" x14ac:dyDescent="0.25">
      <c r="A18" s="21" t="s">
        <v>59</v>
      </c>
      <c r="B18" s="40">
        <f>VLOOKUP($B$6,Salary_Sheet!$A$1:$R$19,MATCH(Salary_Slip!$A18,Salary_Sheet!$A$4:$R$4,0),FALSE)</f>
        <v>24643.870967741936</v>
      </c>
      <c r="C18" s="10" t="s">
        <v>78</v>
      </c>
      <c r="D18" s="37">
        <f>SUM(D13:D16)</f>
        <v>2160</v>
      </c>
    </row>
    <row r="19" spans="1:4" ht="16.5" thickBot="1" x14ac:dyDescent="0.3">
      <c r="A19" s="17"/>
      <c r="B19" s="13"/>
      <c r="C19" s="15"/>
      <c r="D19" s="38"/>
    </row>
    <row r="20" spans="1:4" ht="27" thickBot="1" x14ac:dyDescent="0.3">
      <c r="A20" s="28" t="s">
        <v>62</v>
      </c>
      <c r="B20" s="29"/>
      <c r="C20" s="39">
        <f>B18-D18</f>
        <v>22483.870967741936</v>
      </c>
      <c r="D20" s="30"/>
    </row>
    <row r="21" spans="1:4" ht="15.75" x14ac:dyDescent="0.25">
      <c r="A21" s="17"/>
      <c r="B21" s="13"/>
      <c r="C21" s="15"/>
      <c r="D21" s="18"/>
    </row>
    <row r="22" spans="1:4" ht="18.75" x14ac:dyDescent="0.25">
      <c r="A22" s="19" t="s">
        <v>79</v>
      </c>
      <c r="B22" s="14"/>
      <c r="C22" s="16" t="s">
        <v>80</v>
      </c>
      <c r="D22" s="20"/>
    </row>
    <row r="23" spans="1:4" ht="19.5" thickBot="1" x14ac:dyDescent="0.3">
      <c r="A23" s="51" t="s">
        <v>84</v>
      </c>
      <c r="B23" s="52"/>
      <c r="C23" s="52"/>
      <c r="D23" s="53"/>
    </row>
  </sheetData>
  <mergeCells count="7">
    <mergeCell ref="A23:D23"/>
    <mergeCell ref="A1:D1"/>
    <mergeCell ref="A2:D2"/>
    <mergeCell ref="A3:C3"/>
    <mergeCell ref="A4:D4"/>
    <mergeCell ref="A5:B5"/>
    <mergeCell ref="C10:D1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5B495D-2D12-43DE-9FAB-F72267FA7D97}">
          <x14:formula1>
            <xm:f>Attendance_May2026!$A$7:$A$21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Attendance_May2026</vt:lpstr>
      <vt:lpstr>Salary_Sheet</vt:lpstr>
      <vt:lpstr>Salary_Slip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Anwar Ali</cp:lastModifiedBy>
  <dcterms:created xsi:type="dcterms:W3CDTF">2026-06-02T01:16:53Z</dcterms:created>
  <dcterms:modified xsi:type="dcterms:W3CDTF">2026-06-07T19:06:48Z</dcterms:modified>
</cp:coreProperties>
</file>